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 xmlns:r="http://schemas.openxmlformats.org/officeDocument/2006/relationships" name="Country Intelligence" sheetId="15" state="visible" r:id="rId15"/>
    <sheet xmlns:r="http://schemas.openxmlformats.org/officeDocument/2006/relationships" name="Global Supervisor Directory" sheetId="16" state="visible" r:id="rId16"/>
    <sheet xmlns:r="http://schemas.openxmlformats.org/officeDocument/2006/relationships" name="Global PhD Funding" sheetId="17" state="visible" r:id="rId17"/>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6">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
      <name val="Calibri"/>
      <b val="1"/>
      <color rgb="00FFFFFF"/>
      <sz val="14"/>
    </font>
    <font>
      <name val="Calibri"/>
      <b val="1"/>
      <color rgb="00000000"/>
      <sz val="10"/>
    </font>
    <font>
      <name val="Calibri"/>
      <color rgb="00000000"/>
      <sz val="10"/>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21">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
      <left style="thin">
        <color rgb="00D0D7DE"/>
      </left>
      <right/>
      <top/>
      <bottom/>
      <diagonal/>
    </border>
    <border>
      <left/>
      <right style="thin">
        <color rgb="00D0D7DE"/>
      </right>
      <top/>
      <bottom/>
      <diagonal/>
    </border>
    <border>
      <left style="thin">
        <color rgb="00D0D7DE"/>
      </left>
      <right/>
      <top/>
      <bottom style="thin">
        <color rgb="00D0D7DE"/>
      </bottom>
      <diagonal/>
    </border>
    <border>
      <left/>
      <right style="thin">
        <color rgb="00D0D7DE"/>
      </right>
      <top/>
      <bottom style="thin">
        <color rgb="00D0D7DE"/>
      </bottom>
      <diagonal/>
    </border>
    <border>
      <left/>
      <right/>
      <top style="thin">
        <color rgb="002C4D75"/>
      </top>
      <bottom/>
      <diagonal/>
    </border>
    <border>
      <left/>
      <right style="thin">
        <color rgb="00D0D7DE"/>
      </right>
      <top style="thin">
        <color rgb="002C4D75"/>
      </top>
      <bottom/>
      <diagonal/>
    </border>
    <border>
      <left/>
      <right/>
      <top style="thin">
        <color rgb="002C4D75"/>
      </top>
      <bottom style="double">
        <color rgb="001B365D"/>
      </bottom>
      <diagonal/>
    </border>
    <border>
      <left/>
      <right style="thin">
        <color rgb="00D0D7DE"/>
      </right>
      <top style="thin">
        <color rgb="002C4D75"/>
      </top>
      <bottom style="double">
        <color rgb="001B365D"/>
      </bottom>
      <diagonal/>
    </border>
    <border>
      <left/>
      <right/>
      <top/>
      <bottom style="thin">
        <color rgb="00D0D7DE"/>
      </bottom>
      <diagonal/>
    </border>
    <border>
      <left/>
      <right/>
      <top style="medium">
        <color rgb="001B365D"/>
      </top>
      <bottom/>
      <diagonal/>
    </border>
    <border>
      <left/>
      <right style="thin">
        <color rgb="008C9BAE"/>
      </right>
      <top style="medium">
        <color rgb="001B365D"/>
      </top>
      <bottom/>
      <diagonal/>
    </border>
    <border>
      <left/>
      <right/>
      <top style="medium">
        <color rgb="001B365D"/>
      </top>
      <bottom style="medium">
        <color rgb="001B365D"/>
      </bottom>
      <diagonal/>
    </border>
    <border>
      <left/>
      <right style="thin">
        <color rgb="008C9BAE"/>
      </right>
      <top style="medium">
        <color rgb="001B365D"/>
      </top>
      <bottom style="medium">
        <color rgb="001B365D"/>
      </bottom>
      <diagonal/>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xf numFmtId="0" fontId="0" fillId="0" borderId="7" pivotButton="0" quotePrefix="0" xfId="0"/>
    <xf numFmtId="0" fontId="0" fillId="0" borderId="6" pivotButton="0" quotePrefix="0" xfId="0"/>
    <xf numFmtId="0" fontId="0" fillId="0" borderId="5" pivotButton="0" quotePrefix="0" xfId="0"/>
    <xf numFmtId="0" fontId="0" fillId="0" borderId="4" pivotButton="0" quotePrefix="0" xfId="0"/>
    <xf numFmtId="0" fontId="0" fillId="0" borderId="10" pivotButton="0" quotePrefix="0" xfId="0"/>
    <xf numFmtId="0" fontId="0" fillId="0" borderId="11" pivotButton="0" quotePrefix="0" xfId="0"/>
    <xf numFmtId="0" fontId="0" fillId="0" borderId="16" pivotButton="0" quotePrefix="0" xfId="0"/>
    <xf numFmtId="0" fontId="0" fillId="0" borderId="20" pivotButton="0" quotePrefix="0" xfId="0"/>
    <xf numFmtId="0" fontId="0" fillId="0" borderId="19" pivotButton="0" quotePrefix="0" xfId="0"/>
    <xf numFmtId="0" fontId="0" fillId="0" borderId="14" pivotButton="0" quotePrefix="0" xfId="0"/>
    <xf numFmtId="0" fontId="0" fillId="0" borderId="15" pivotButton="0" quotePrefix="0" xfId="0"/>
    <xf numFmtId="0" fontId="13" fillId="2" borderId="0" applyAlignment="1" pivotButton="0" quotePrefix="0" xfId="0">
      <alignment horizontal="center" vertical="center"/>
    </xf>
    <xf numFmtId="0" fontId="6" fillId="3" borderId="0" applyAlignment="1" pivotButton="0" quotePrefix="0" xfId="0">
      <alignment horizontal="center" vertical="center" wrapText="1"/>
    </xf>
    <xf numFmtId="0" fontId="14" fillId="6" borderId="1" applyAlignment="1" pivotButton="0" quotePrefix="0" xfId="0">
      <alignment vertical="center"/>
    </xf>
    <xf numFmtId="0" fontId="15" fillId="6" borderId="1" applyAlignment="1" pivotButton="0" quotePrefix="0" xfId="0">
      <alignment vertical="center"/>
    </xf>
    <xf numFmtId="0" fontId="14" fillId="5" borderId="1" applyAlignment="1" pivotButton="0" quotePrefix="0" xfId="0">
      <alignment vertical="center"/>
    </xf>
    <xf numFmtId="0" fontId="15" fillId="5" borderId="1" applyAlignment="1" pivotButton="0" quotePrefix="0" xfId="0">
      <alignmen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58" t="n"/>
      <c r="C5" s="3" t="inlineStr">
        <is>
          <t>TOTAL HOURS LOGGED</t>
        </is>
      </c>
      <c r="D5" s="58" t="n"/>
      <c r="E5" s="3" t="inlineStr">
        <is>
          <t>TARGET HOURS</t>
        </is>
      </c>
      <c r="F5" s="58" t="n"/>
      <c r="G5" s="3" t="inlineStr">
        <is>
          <t>COURSES COMPLETED</t>
        </is>
      </c>
      <c r="H5" s="58" t="n"/>
      <c r="I5" s="3" t="inlineStr">
        <is>
          <t>PAPERS ANALYZED</t>
        </is>
      </c>
      <c r="J5" s="58" t="n"/>
      <c r="K5" s="3" t="inlineStr">
        <is>
          <t>PhD READINESS INDEX</t>
        </is>
      </c>
      <c r="L5" s="59" t="n"/>
      <c r="M5" s="58" t="n"/>
    </row>
    <row r="6">
      <c r="A6" s="5">
        <f>AVERAGE('Weekly Progress Tracker'!P5:P28)</f>
        <v/>
      </c>
      <c r="B6" s="60" t="n"/>
      <c r="C6" s="6">
        <f>SUM('Weekly Progress Tracker'!F5:F28)</f>
        <v/>
      </c>
      <c r="D6" s="60" t="n"/>
      <c r="E6" s="6">
        <f>SUM('Weekly Progress Tracker'!E5:E28)</f>
        <v/>
      </c>
      <c r="F6" s="60" t="n"/>
      <c r="G6" s="7">
        <f>COUNTIF('Course Tracker'!M4:M25, "Completed")</f>
        <v/>
      </c>
      <c r="H6" s="60" t="n"/>
      <c r="I6" s="8">
        <f>COUNTIF('Paper Tracker'!I5:I25, "Yes")</f>
        <v/>
      </c>
      <c r="J6" s="60" t="n"/>
      <c r="K6" s="9">
        <f>'PhD Readiness Assessment'!C21</f>
        <v/>
      </c>
      <c r="L6" s="61" t="n"/>
      <c r="M6" s="60" t="n"/>
    </row>
    <row r="7">
      <c r="A7" s="62" t="n"/>
      <c r="B7" s="63" t="n"/>
      <c r="C7" s="62" t="n"/>
      <c r="D7" s="63" t="n"/>
      <c r="E7" s="62" t="n"/>
      <c r="F7" s="63" t="n"/>
      <c r="G7" s="62" t="n"/>
      <c r="H7" s="63" t="n"/>
      <c r="I7" s="62" t="n"/>
      <c r="J7" s="63" t="n"/>
      <c r="K7" s="62" t="n"/>
      <c r="L7" s="64" t="n"/>
      <c r="M7" s="63" t="n"/>
    </row>
    <row r="9">
      <c r="A9" s="10" t="inlineStr">
        <is>
          <t>24-WEEK RESEARCH PREPARATION ROADMAP &amp; MONTHLY MILESTONES</t>
        </is>
      </c>
    </row>
    <row r="10">
      <c r="A10" s="11" t="inlineStr">
        <is>
          <t>Month</t>
        </is>
      </c>
      <c r="B10" s="11" t="inlineStr">
        <is>
          <t>Weeks</t>
        </is>
      </c>
      <c r="C10" s="11" t="inlineStr">
        <is>
          <t>Core Focus Area</t>
        </is>
      </c>
      <c r="D10" s="65" t="n"/>
      <c r="E10" s="11" t="inlineStr">
        <is>
          <t>Key Thematic Modules</t>
        </is>
      </c>
      <c r="F10" s="66" t="n"/>
      <c r="G10" s="65" t="n"/>
      <c r="H10" s="11" t="inlineStr">
        <is>
          <t>Milestone Tangible Deliverable</t>
        </is>
      </c>
      <c r="I10" s="66" t="n"/>
      <c r="J10" s="66" t="n"/>
      <c r="K10" s="65" t="n"/>
      <c r="L10" s="11" t="inlineStr">
        <is>
          <t>Target Date</t>
        </is>
      </c>
      <c r="M10" s="11" t="inlineStr">
        <is>
          <t>Status</t>
        </is>
      </c>
    </row>
    <row r="11">
      <c r="A11" s="12" t="inlineStr">
        <is>
          <t>Month 1</t>
        </is>
      </c>
      <c r="B11" s="12" t="inlineStr">
        <is>
          <t>W1 - W4</t>
        </is>
      </c>
      <c r="C11" s="13" t="inlineStr">
        <is>
          <t>Networking &amp; Edge Foundations</t>
        </is>
      </c>
      <c r="D11" s="58" t="n"/>
      <c r="E11" s="13" t="inlineStr">
        <is>
          <t>Edge Architecture, Network Virtualization, SDN, Protocols (TCP/UDP/MQTT), Wireless IoT</t>
        </is>
      </c>
      <c r="F11" s="59" t="n"/>
      <c r="G11" s="58" t="n"/>
      <c r="H11" s="13" t="inlineStr">
        <is>
          <t>Comprehensive Technical Taxonomy &amp; Comparative Survey: Edge vs Fog vs Cloudlets</t>
        </is>
      </c>
      <c r="I11" s="59" t="n"/>
      <c r="J11" s="59" t="n"/>
      <c r="K11" s="58" t="n"/>
      <c r="L11" s="12" t="inlineStr">
        <is>
          <t>Month 1 End</t>
        </is>
      </c>
      <c r="M11" s="15" t="inlineStr">
        <is>
          <t>In Progress</t>
        </is>
      </c>
    </row>
    <row r="12">
      <c r="A12" s="16" t="inlineStr">
        <is>
          <t>Month 2</t>
        </is>
      </c>
      <c r="B12" s="16" t="inlineStr">
        <is>
          <t>W5 - W8</t>
        </is>
      </c>
      <c r="C12" s="17" t="inlineStr">
        <is>
          <t>Distributed Systems &amp; Consensus</t>
        </is>
      </c>
      <c r="D12" s="58" t="n"/>
      <c r="E12" s="17" t="inlineStr">
        <is>
          <t>Processes, RPC, Logical Clocks, Consistency Models, Raft Consensus, Distributed Storage</t>
        </is>
      </c>
      <c r="F12" s="59" t="n"/>
      <c r="G12" s="58" t="n"/>
      <c r="H12" s="17" t="inlineStr">
        <is>
          <t>Raft Consensus Node Implementation &amp; Edge State Synchronization Protocol Critique</t>
        </is>
      </c>
      <c r="I12" s="59" t="n"/>
      <c r="J12" s="59" t="n"/>
      <c r="K12" s="58" t="n"/>
      <c r="L12" s="16" t="inlineStr">
        <is>
          <t>Month 2 End</t>
        </is>
      </c>
      <c r="M12" s="19" t="inlineStr">
        <is>
          <t>Not Started</t>
        </is>
      </c>
    </row>
    <row r="13">
      <c r="A13" s="12" t="inlineStr">
        <is>
          <t>Month 3</t>
        </is>
      </c>
      <c r="B13" s="12" t="inlineStr">
        <is>
          <t>W9 - W12</t>
        </is>
      </c>
      <c r="C13" s="13" t="inlineStr">
        <is>
          <t>Cloud-Native, K3s &amp; Edge Arch</t>
        </is>
      </c>
      <c r="D13" s="58" t="n"/>
      <c r="E13" s="13" t="inlineStr">
        <is>
          <t>Hypervisors vs Containers, K3s/KubeEdge Orchestration, Serverless Edge, Edge Topologies</t>
        </is>
      </c>
      <c r="F13" s="59" t="n"/>
      <c r="G13" s="58" t="n"/>
      <c r="H13" s="13" t="inlineStr">
        <is>
          <t>Edge-Native Microservice Cluster deployed on K3s with Latency &amp; Resource Benchmarking</t>
        </is>
      </c>
      <c r="I13" s="59" t="n"/>
      <c r="J13" s="59" t="n"/>
      <c r="K13" s="58" t="n"/>
      <c r="L13" s="12" t="inlineStr">
        <is>
          <t>Month 3 End</t>
        </is>
      </c>
      <c r="M13" s="15" t="inlineStr">
        <is>
          <t>Not Started</t>
        </is>
      </c>
    </row>
    <row r="14">
      <c r="A14" s="16" t="inlineStr">
        <is>
          <t>Month 4</t>
        </is>
      </c>
      <c r="B14" s="16" t="inlineStr">
        <is>
          <t>W13 - W16</t>
        </is>
      </c>
      <c r="C14" s="17" t="inlineStr">
        <is>
          <t>5G/6G MEC &amp; Optimization</t>
        </is>
      </c>
      <c r="D14" s="58" t="n"/>
      <c r="E14" s="17" t="inlineStr">
        <is>
          <t>3GPP/ETSI MEC Standards, Network Slicing, URLLC, Task Offloading Models, Convex Optimization</t>
        </is>
      </c>
      <c r="F14" s="59" t="n"/>
      <c r="G14" s="58" t="n"/>
      <c r="H14" s="17" t="inlineStr">
        <is>
          <t>Formulation &amp; CVXPY Implementation of Multi-Device Edge Computation Offloading Model</t>
        </is>
      </c>
      <c r="I14" s="59" t="n"/>
      <c r="J14" s="59" t="n"/>
      <c r="K14" s="58" t="n"/>
      <c r="L14" s="16" t="inlineStr">
        <is>
          <t>Month 4 End</t>
        </is>
      </c>
      <c r="M14" s="19" t="inlineStr">
        <is>
          <t>Not Started</t>
        </is>
      </c>
    </row>
    <row r="15">
      <c r="A15" s="12" t="inlineStr">
        <is>
          <t>Month 5</t>
        </is>
      </c>
      <c r="B15" s="12" t="inlineStr">
        <is>
          <t>W17 - W20</t>
        </is>
      </c>
      <c r="C15" s="13" t="inlineStr">
        <is>
          <t>Edge AI &amp; Security/Privacy</t>
        </is>
      </c>
      <c r="D15" s="58" t="n"/>
      <c r="E15" s="13" t="inlineStr">
        <is>
          <t>Model Compression, Quantization/Pruning, TinyML, Federated Learning (FedAvg), TEEs &amp; Zero Trust</t>
        </is>
      </c>
      <c r="F15" s="59" t="n"/>
      <c r="G15" s="58" t="n"/>
      <c r="H15" s="13" t="inlineStr">
        <is>
          <t>Edge-Cloud Collaborative Inference &amp; Differential Privacy Federated Learning Benchmark</t>
        </is>
      </c>
      <c r="I15" s="59" t="n"/>
      <c r="J15" s="59" t="n"/>
      <c r="K15" s="58" t="n"/>
      <c r="L15" s="12" t="inlineStr">
        <is>
          <t>Month 5 End</t>
        </is>
      </c>
      <c r="M15" s="15" t="inlineStr">
        <is>
          <t>Not Started</t>
        </is>
      </c>
    </row>
    <row r="16">
      <c r="A16" s="16" t="inlineStr">
        <is>
          <t>Month 6</t>
        </is>
      </c>
      <c r="B16" s="16" t="inlineStr">
        <is>
          <t>W21 - W24</t>
        </is>
      </c>
      <c r="C16" s="17" t="inlineStr">
        <is>
          <t>Simulation &amp; PhD Proposal</t>
        </is>
      </c>
      <c r="D16" s="58" t="n"/>
      <c r="E16" s="17" t="inlineStr">
        <is>
          <t>EdgeCloudSim, Discrete Event Modeling, Experimental Design, Academic Writing, Research Gaps</t>
        </is>
      </c>
      <c r="F16" s="59" t="n"/>
      <c r="G16" s="58" t="n"/>
      <c r="H16" s="17" t="inlineStr">
        <is>
          <t>Complete Edge Computing Research Paper / Capstone Report + PhD Research Proposal Draft</t>
        </is>
      </c>
      <c r="I16" s="59" t="n"/>
      <c r="J16" s="59" t="n"/>
      <c r="K16" s="5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59" t="n"/>
      <c r="C19" s="58" t="n"/>
      <c r="D19" s="12" t="inlineStr">
        <is>
          <t>3.0 - 4.0 hrs</t>
        </is>
      </c>
      <c r="E19" s="12" t="inlineStr">
        <is>
          <t>40%</t>
        </is>
      </c>
      <c r="F19" s="13" t="inlineStr">
        <is>
          <t>MIT/Stanford/Coursera free graduate lectures &amp; readings</t>
        </is>
      </c>
      <c r="G19" s="58" t="n"/>
      <c r="H19" s="20" t="inlineStr">
        <is>
          <t>Sheet 2: Master Curriculum</t>
        </is>
      </c>
      <c r="I19" s="59" t="n"/>
      <c r="J19" s="58" t="n"/>
      <c r="K19" s="22" t="inlineStr">
        <is>
          <t>Complete course directory across Levels 0-14 with strictly free resources</t>
        </is>
      </c>
      <c r="L19" s="59" t="n"/>
      <c r="M19" s="58" t="n"/>
    </row>
    <row r="20">
      <c r="A20" s="17" t="inlineStr">
        <is>
          <t>Research Paper Reading &amp; Analysis</t>
        </is>
      </c>
      <c r="B20" s="59" t="n"/>
      <c r="C20" s="58" t="n"/>
      <c r="D20" s="16" t="inlineStr">
        <is>
          <t>2.0 - 2.5 hrs</t>
        </is>
      </c>
      <c r="E20" s="16" t="inlineStr">
        <is>
          <t>25%</t>
        </is>
      </c>
      <c r="F20" s="17" t="inlineStr">
        <is>
          <t>Seminal papers, methodology deconstruction, gap finding</t>
        </is>
      </c>
      <c r="G20" s="58" t="n"/>
      <c r="H20" s="23" t="inlineStr">
        <is>
          <t>Sheet 3: 24-Week Plan</t>
        </is>
      </c>
      <c r="I20" s="59" t="n"/>
      <c r="J20" s="58" t="n"/>
      <c r="K20" s="25" t="inlineStr">
        <is>
          <t>Comprehensive week-by-week curriculum, activities, deliverables, criteria</t>
        </is>
      </c>
      <c r="L20" s="59" t="n"/>
      <c r="M20" s="58" t="n"/>
    </row>
    <row r="21">
      <c r="A21" s="13" t="inlineStr">
        <is>
          <t>Hands-on Systems Lab &amp; Coding</t>
        </is>
      </c>
      <c r="B21" s="59" t="n"/>
      <c r="C21" s="58" t="n"/>
      <c r="D21" s="12" t="inlineStr">
        <is>
          <t>1.5 - 2.0 hrs</t>
        </is>
      </c>
      <c r="E21" s="12" t="inlineStr">
        <is>
          <t>20%</t>
        </is>
      </c>
      <c r="F21" s="13" t="inlineStr">
        <is>
          <t>K3s, Docker, Python CVXPY, TinyML, Raft implementation</t>
        </is>
      </c>
      <c r="G21" s="58" t="n"/>
      <c r="H21" s="20" t="inlineStr">
        <is>
          <t>Sheet 4: Weekly Progress Tracker</t>
        </is>
      </c>
      <c r="I21" s="59" t="n"/>
      <c r="J21" s="58" t="n"/>
      <c r="K21" s="22" t="inlineStr">
        <is>
          <t>Log target vs actual hours, readings, labs, challenges, key learnings</t>
        </is>
      </c>
      <c r="L21" s="59" t="n"/>
      <c r="M21" s="58" t="n"/>
    </row>
    <row r="22">
      <c r="A22" s="17" t="inlineStr">
        <is>
          <t>Research Methodology &amp; Proposal Prep</t>
        </is>
      </c>
      <c r="B22" s="59" t="n"/>
      <c r="C22" s="58" t="n"/>
      <c r="D22" s="16" t="inlineStr">
        <is>
          <t>1.0 - 1.5 hrs</t>
        </is>
      </c>
      <c r="E22" s="16" t="inlineStr">
        <is>
          <t>15%</t>
        </is>
      </c>
      <c r="F22" s="17" t="inlineStr">
        <is>
          <t>LaTeX writing, RQ formulation, experimental design</t>
        </is>
      </c>
      <c r="G22" s="58" t="n"/>
      <c r="H22" s="23" t="inlineStr">
        <is>
          <t>Sheet 5: Course Tracker</t>
        </is>
      </c>
      <c r="I22" s="59" t="n"/>
      <c r="J22" s="58" t="n"/>
      <c r="K22" s="25" t="inlineStr">
        <is>
          <t>Track enrolled free courses, URLs, progress %, ratings, milestones</t>
        </is>
      </c>
      <c r="L22" s="59" t="n"/>
      <c r="M22" s="58" t="n"/>
    </row>
    <row r="23">
      <c r="A23" s="26" t="inlineStr">
        <is>
          <t>Total Weekly Investment</t>
        </is>
      </c>
      <c r="B23" s="67" t="n"/>
      <c r="C23" s="68" t="n"/>
      <c r="D23" s="28" t="inlineStr">
        <is>
          <t>7.5 - 10.0 hrs</t>
        </is>
      </c>
      <c r="E23" s="28" t="inlineStr">
        <is>
          <t>100%</t>
        </is>
      </c>
      <c r="F23" s="26" t="inlineStr">
        <is>
          <t>100% Free Open-Access study plan tailored for PhD applicant</t>
        </is>
      </c>
      <c r="G23" s="68" t="n"/>
      <c r="H23" s="20" t="inlineStr">
        <is>
          <t>Sheet 6: Paper Tracker</t>
        </is>
      </c>
      <c r="I23" s="59" t="n"/>
      <c r="J23" s="58" t="n"/>
      <c r="K23" s="22" t="inlineStr">
        <is>
          <t>25+ seminal/modern open-access research papers, RQs, methodologies, gaps</t>
        </is>
      </c>
      <c r="L23" s="59" t="n"/>
      <c r="M23" s="58" t="n"/>
    </row>
    <row r="24">
      <c r="H24" s="23" t="inlineStr">
        <is>
          <t>Sheet 7: Research Ideas (Idea Bank)</t>
        </is>
      </c>
      <c r="I24" s="59" t="n"/>
      <c r="J24" s="58" t="n"/>
      <c r="K24" s="25" t="inlineStr">
        <is>
          <t>Problem statements, research questions, methodologies for PhD proposal</t>
        </is>
      </c>
      <c r="L24" s="59" t="n"/>
      <c r="M24" s="58" t="n"/>
    </row>
    <row r="25">
      <c r="H25" s="20" t="inlineStr">
        <is>
          <t>Sheet 8: Skills Matrix</t>
        </is>
      </c>
      <c r="I25" s="59" t="n"/>
      <c r="J25" s="58" t="n"/>
      <c r="K25" s="22" t="inlineStr">
        <is>
          <t>Current vs target competency levels (0-5) across 21 Edge research skills</t>
        </is>
      </c>
      <c r="L25" s="59" t="n"/>
      <c r="M25" s="58" t="n"/>
    </row>
    <row r="26">
      <c r="H26" s="23" t="inlineStr">
        <is>
          <t>Sheet 9: Simulation &amp; Tools Guide</t>
        </is>
      </c>
      <c r="I26" s="59" t="n"/>
      <c r="J26" s="58" t="n"/>
      <c r="K26" s="25" t="inlineStr">
        <is>
          <t>EdgeCloudSim, iFogSim, CloudSim, ns-3, Mininet, K3s open-source analysis</t>
        </is>
      </c>
      <c r="L26" s="59" t="n"/>
      <c r="M26" s="58" t="n"/>
    </row>
    <row r="27">
      <c r="H27" s="20" t="inlineStr">
        <is>
          <t>Sheet 10: Recommended Path</t>
        </is>
      </c>
      <c r="I27" s="59" t="n"/>
      <c r="J27" s="58" t="n"/>
      <c r="K27" s="22" t="inlineStr">
        <is>
          <t>Curated Must Take, Strongly Recommended, Optional, Reference tiers (100% Free)</t>
        </is>
      </c>
      <c r="L27" s="59" t="n"/>
      <c r="M27" s="58" t="n"/>
    </row>
    <row r="28">
      <c r="H28" s="23" t="inlineStr">
        <is>
          <t>Sheet 11: PhD Readiness Assessment</t>
        </is>
      </c>
      <c r="I28" s="59" t="n"/>
      <c r="J28" s="58" t="n"/>
      <c r="K28" s="25" t="inlineStr">
        <is>
          <t>19-point rubric to evaluate readiness for top-tier PhD programs</t>
        </is>
      </c>
      <c r="L28" s="59" t="n"/>
      <c r="M28" s="58" t="n"/>
    </row>
    <row r="30">
      <c r="A30" s="29" t="inlineStr">
        <is>
          <t>HONG KONG PhD CAMPAIGN (10-WEEK APPLICATION OVERLAY)</t>
        </is>
      </c>
    </row>
    <row r="31">
      <c r="A31" s="3" t="inlineStr">
        <is>
          <t>TARGET UNIVERSITIES</t>
        </is>
      </c>
      <c r="B31" s="58" t="n"/>
      <c r="C31" s="3" t="inlineStr">
        <is>
          <t>POTENTIAL SUPERVISORS</t>
        </is>
      </c>
      <c r="D31" s="58" t="n"/>
      <c r="E31" s="3" t="inlineStr">
        <is>
          <t>TIER 1 MATCHES</t>
        </is>
      </c>
      <c r="F31" s="58" t="n"/>
      <c r="G31" s="3" t="inlineStr">
        <is>
          <t>ACTIVE RECRUITING</t>
        </is>
      </c>
      <c r="H31" s="58" t="n"/>
      <c r="I31" s="3" t="inlineStr">
        <is>
          <t>WEEKS REMAINING</t>
        </is>
      </c>
      <c r="J31" s="58" t="n"/>
      <c r="K31" s="3" t="inlineStr">
        <is>
          <t>NEAREST DEADLINE</t>
        </is>
      </c>
      <c r="L31" s="59" t="n"/>
      <c r="M31" s="58" t="n"/>
    </row>
    <row r="32">
      <c r="A32" s="30" t="inlineStr">
        <is>
          <t>8 Universities</t>
        </is>
      </c>
      <c r="B32" s="60" t="n"/>
      <c r="C32" s="30" t="inlineStr">
        <is>
          <t>12 Discovered</t>
        </is>
      </c>
      <c r="D32" s="60" t="n"/>
      <c r="E32" s="30" t="inlineStr">
        <is>
          <t>10 Supervisors</t>
        </is>
      </c>
      <c r="F32" s="60" t="n"/>
      <c r="G32" s="30" t="inlineStr">
        <is>
          <t>11 Verified</t>
        </is>
      </c>
      <c r="H32" s="60" t="n"/>
      <c r="I32" s="30" t="inlineStr">
        <is>
          <t>9 Weeks</t>
        </is>
      </c>
      <c r="J32" s="60" t="n"/>
      <c r="K32" s="30" t="inlineStr">
        <is>
          <t>62 Days (Dec 1)</t>
        </is>
      </c>
      <c r="L32" s="61" t="n"/>
      <c r="M32" s="60" t="n"/>
    </row>
    <row r="33">
      <c r="A33" s="62" t="n"/>
      <c r="B33" s="63" t="n"/>
      <c r="C33" s="62" t="n"/>
      <c r="D33" s="63" t="n"/>
      <c r="E33" s="62" t="n"/>
      <c r="F33" s="63" t="n"/>
      <c r="G33" s="62" t="n"/>
      <c r="H33" s="63" t="n"/>
      <c r="I33" s="62" t="n"/>
      <c r="J33" s="63" t="n"/>
      <c r="K33" s="62" t="n"/>
      <c r="L33" s="64" t="n"/>
      <c r="M33" s="63"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68" t="n"/>
      <c r="C21" s="54">
        <f>AVERAGE(C5:C20)</f>
        <v/>
      </c>
      <c r="D21" s="26">
        <f>IF(C21&gt;=3.5, "EXCEPTIONAL — Fully Research Ready for Top-Tier PhD", IF(C21&gt;=2.8, "STRONG — Highly Competitive PhD Applicant with Strong Foundations", "DEVELOPING — Continue Progressing Through Curriculum"))</f>
        <v/>
      </c>
      <c r="E21" s="67" t="n"/>
      <c r="F21" s="67" t="n"/>
      <c r="G21" s="68"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 Mesh: A New Paradigm to Enable Distributed Intelligence in Internet of Things</t>
        </is>
      </c>
      <c r="L4" s="17" t="inlineStr">
        <is>
          <t>EdgeShard: Efficient LLM Inference via Collaborative Edge Computing</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Enabling Cost-Effective, SLO-Aware Machine Learning Inference Serving on Public Cloud</t>
        </is>
      </c>
      <c r="L5" s="13" t="inlineStr">
        <is>
          <t>Enabling Cost-Effective, SLO-Aware Machine Learning Inference Serving on Public Cloud</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DL2: A Deep Learning-Driven Scheduler for Deep Learning Clusters</t>
        </is>
      </c>
      <c r="L6" s="17" t="inlineStr">
        <is>
          <t>Task Placement and Resource Allocation for Edge Machine Learning: A GNN-Based Multi-Agent Reinforcement Learning Paradigm</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A Learning-Based Incentive Mechanism for Federated Learning</t>
        </is>
      </c>
      <c r="L7" s="13" t="inlineStr">
        <is>
          <t>Wireless Powered Mobile Edge Computing Networks: A Survey</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N/A</t>
        </is>
      </c>
      <c r="L8" s="17" t="inlineStr">
        <is>
          <t>N/A</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AoI-Aware User Service Satisfaction Enhancement in Digital Twin-Empowered Edge Computing</t>
        </is>
      </c>
      <c r="L9" s="13" t="inlineStr">
        <is>
          <t>AoI-Aware User Service Satisfaction Enhancement in Digital Twin-Empowered Edge Computing</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Markov Approximation for Combinatorial Network Optimization</t>
        </is>
      </c>
      <c r="L10" s="17" t="inlineStr">
        <is>
          <t>Unsupervised Learning for Solving AC Optimal Power Flows: Design, Analysis, and Experiment</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vPipe: A Virtualized Acceleration System for Achieving Efficient and Scalable Pipeline Parallel DNN Training</t>
        </is>
      </c>
      <c r="L11" s="13" t="inlineStr">
        <is>
          <t>vPipe: A Virtualized Acceleration System for Achieving Efficient and Scalable Pipeline Parallel DNN Training</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Task Co-Offloading for D2D-Assisted Mobile Edge Computing in Industrial Internet of Things</t>
        </is>
      </c>
      <c r="L12" s="17" t="inlineStr">
        <is>
          <t>Task Co-Offloading for D2D-Assisted Mobile Edge Computing in Industrial Internet of Things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Resource-Efficient Collaborative Edge Transformer Inference With Hybrid Model Parallelism</t>
        </is>
      </c>
      <c r="L13" s="13" t="inlineStr">
        <is>
          <t>Resource-Efficient Collaborative Edge Transformer Inference With Hybrid Model Parallelism</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Matrix-Based Evolutionary Computation</t>
        </is>
      </c>
      <c r="L14" s="17" t="inlineStr">
        <is>
          <t>Matrix-Based Evolutionary Computation</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Exploring the application of ChatGPT in ESL/EFL education and related research issues: a systematic review of empirical studies</t>
        </is>
      </c>
      <c r="L15" s="13" t="inlineStr">
        <is>
          <t>Exploring the application of ChatGPT in ESL/EFL education and related research issues: a systematic review of empirical studies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62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62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62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62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62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62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62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62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62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Completed</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In Progress</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2"/>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2"/>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2"/>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2026-09-30T03:41:07Z</dcterms:created>
  <dcterms:modified xmlns:dcterms="http://purl.org/dc/terms/" xmlns:xsi="http://www.w3.org/2001/XMLSchema-instance" xsi:type="dcterms:W3CDTF">2026-09-30T10:58:19Z</dcterms:modified>
</cp:coreProperties>
</file>