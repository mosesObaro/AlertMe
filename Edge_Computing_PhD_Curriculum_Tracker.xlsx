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Master Curriculum" sheetId="2" state="visible" r:id="rId2"/>
    <sheet xmlns:r="http://schemas.openxmlformats.org/officeDocument/2006/relationships" name="24-Week Plan" sheetId="3" state="visible" r:id="rId3"/>
    <sheet xmlns:r="http://schemas.openxmlformats.org/officeDocument/2006/relationships" name="Weekly Progress Tracker" sheetId="4" state="visible" r:id="rId4"/>
    <sheet xmlns:r="http://schemas.openxmlformats.org/officeDocument/2006/relationships" name="Course Tracker" sheetId="5" state="visible" r:id="rId5"/>
    <sheet xmlns:r="http://schemas.openxmlformats.org/officeDocument/2006/relationships" name="Paper Tracker" sheetId="6" state="visible" r:id="rId6"/>
    <sheet xmlns:r="http://schemas.openxmlformats.org/officeDocument/2006/relationships" name="Research Ideas" sheetId="7" state="visible" r:id="rId7"/>
    <sheet xmlns:r="http://schemas.openxmlformats.org/officeDocument/2006/relationships" name="Skills Matrix" sheetId="8" state="visible" r:id="rId8"/>
    <sheet xmlns:r="http://schemas.openxmlformats.org/officeDocument/2006/relationships" name="Simulation &amp; Tools Guide" sheetId="9" state="visible" r:id="rId9"/>
    <sheet xmlns:r="http://schemas.openxmlformats.org/officeDocument/2006/relationships" name="Recommended Path" sheetId="10" state="visible" r:id="rId10"/>
    <sheet xmlns:r="http://schemas.openxmlformats.org/officeDocument/2006/relationships" name="PhD Readiness Assessment" sheetId="11" state="visible" r:id="rId11"/>
    <sheet xmlns:r="http://schemas.openxmlformats.org/officeDocument/2006/relationships" name="HK Supervisor Intelligence" sheetId="12" state="visible" r:id="rId12"/>
    <sheet xmlns:r="http://schemas.openxmlformats.org/officeDocument/2006/relationships" name="HK Scholarships &amp; Deadlines" sheetId="13" state="visible" r:id="rId13"/>
    <sheet xmlns:r="http://schemas.openxmlformats.org/officeDocument/2006/relationships" name="HK Application Tracker" sheetId="14" state="visible" r:id="rId14"/>
    <sheet xmlns:r="http://schemas.openxmlformats.org/officeDocument/2006/relationships" name="Country Intelligence" sheetId="15" state="visible" r:id="rId15"/>
    <sheet xmlns:r="http://schemas.openxmlformats.org/officeDocument/2006/relationships" name="Global Supervisor Directory" sheetId="16" state="visible" r:id="rId16"/>
    <sheet xmlns:r="http://schemas.openxmlformats.org/officeDocument/2006/relationships" name="Global PhD Funding" sheetId="17" state="visible" r:id="rId17"/>
  </sheets>
  <definedNames/>
  <calcPr calcId="124519" fullCalcOnLoad="1"/>
</workbook>
</file>

<file path=xl/styles.xml><?xml version="1.0" encoding="utf-8"?>
<styleSheet xmlns="http://schemas.openxmlformats.org/spreadsheetml/2006/main">
  <numFmts count="7">
    <numFmt numFmtId="164" formatCode="0.0%"/>
    <numFmt numFmtId="165" formatCode="#,##0.0 &quot;hrs&quot;"/>
    <numFmt numFmtId="166" formatCode="0 &quot;Courses&quot;"/>
    <numFmt numFmtId="167" formatCode="0 &quot;Papers&quot;"/>
    <numFmt numFmtId="168" formatCode="0.00 &quot;/ 4.00&quot;"/>
    <numFmt numFmtId="169" formatCode="YYYY-MM-DD"/>
    <numFmt numFmtId="170" formatCode="0.0&quot;%&quot;"/>
  </numFmts>
  <fonts count="16">
    <font>
      <name val="Calibri"/>
      <family val="2"/>
      <color theme="1"/>
      <sz val="11"/>
      <scheme val="minor"/>
    </font>
    <font>
      <name val="Calibri"/>
      <b val="1"/>
      <color rgb="00FFFFFF"/>
      <sz val="16"/>
    </font>
    <font>
      <name val="Calibri"/>
      <i val="1"/>
      <color rgb="00E8EEF5"/>
      <sz val="11"/>
    </font>
    <font>
      <name val="Calibri"/>
      <b val="1"/>
      <color rgb="005A6B7C"/>
      <sz val="9"/>
    </font>
    <font>
      <name val="Calibri"/>
      <b val="1"/>
      <color rgb="001B365D"/>
      <sz val="18"/>
    </font>
    <font>
      <name val="Calibri"/>
      <b val="1"/>
      <color rgb="00FFFFFF"/>
      <sz val="12"/>
    </font>
    <font>
      <name val="Calibri"/>
      <b val="1"/>
      <color rgb="00FFFFFF"/>
      <sz val="10"/>
    </font>
    <font>
      <name val="Calibri"/>
      <color rgb="0024292F"/>
      <sz val="10"/>
    </font>
    <font>
      <name val="Calibri"/>
      <b val="1"/>
      <color rgb="001B365D"/>
      <sz val="10"/>
    </font>
    <font>
      <name val="Calibri"/>
      <color rgb="0057606A"/>
      <sz val="9"/>
    </font>
    <font>
      <name val="Calibri"/>
      <color rgb="000969DA"/>
      <sz val="10"/>
      <u val="single"/>
    </font>
    <font>
      <name val="Calibri"/>
      <b val="1"/>
      <color rgb="00FFFFFF"/>
      <sz val="15"/>
    </font>
    <font>
      <name val="Calibri"/>
      <b val="1"/>
      <color rgb="001B365D"/>
      <sz val="16"/>
    </font>
    <font>
      <name val="Calibri"/>
      <b val="1"/>
      <color rgb="00FFFFFF"/>
      <sz val="14"/>
    </font>
    <font>
      <name val="Calibri"/>
      <b val="1"/>
      <color rgb="00000000"/>
      <sz val="10"/>
    </font>
    <font>
      <name val="Calibri"/>
      <color rgb="00000000"/>
      <sz val="10"/>
    </font>
  </fonts>
  <fills count="11">
    <fill>
      <patternFill/>
    </fill>
    <fill>
      <patternFill patternType="gray125"/>
    </fill>
    <fill>
      <patternFill patternType="solid">
        <fgColor rgb="001B365D"/>
        <bgColor rgb="001B365D"/>
      </patternFill>
    </fill>
    <fill>
      <patternFill patternType="solid">
        <fgColor rgb="002C4D75"/>
        <bgColor rgb="002C4D75"/>
      </patternFill>
    </fill>
    <fill>
      <patternFill patternType="solid">
        <fgColor rgb="00E8EEF5"/>
        <bgColor rgb="00E8EEF5"/>
      </patternFill>
    </fill>
    <fill>
      <patternFill patternType="solid">
        <fgColor rgb="00FFFFFF"/>
        <bgColor rgb="00FFFFFF"/>
      </patternFill>
    </fill>
    <fill>
      <patternFill patternType="solid">
        <fgColor rgb="00F7F9FC"/>
        <bgColor rgb="00F7F9FC"/>
      </patternFill>
    </fill>
    <fill>
      <patternFill patternType="solid">
        <fgColor rgb="00D9E2EC"/>
        <bgColor rgb="00D9E2EC"/>
      </patternFill>
    </fill>
    <fill>
      <patternFill patternType="solid">
        <fgColor rgb="00FFF8E7"/>
        <bgColor rgb="00FFF8E7"/>
      </patternFill>
    </fill>
    <fill>
      <patternFill patternType="solid">
        <fgColor rgb="00E8F4F8"/>
        <bgColor rgb="00E8F4F8"/>
      </patternFill>
    </fill>
    <fill>
      <patternFill patternType="solid">
        <fgColor rgb="00F0F4F8"/>
        <bgColor rgb="00F0F4F8"/>
      </patternFill>
    </fill>
  </fills>
  <borders count="21">
    <border>
      <left/>
      <right/>
      <top/>
      <bottom/>
      <diagonal/>
    </border>
    <border>
      <left style="thin">
        <color rgb="00D0D7DE"/>
      </left>
      <right style="thin">
        <color rgb="00D0D7DE"/>
      </right>
      <top style="thin">
        <color rgb="00D0D7DE"/>
      </top>
      <bottom style="thin">
        <color rgb="00D0D7DE"/>
      </bottom>
    </border>
    <border>
      <left style="thin">
        <color rgb="008C9BAE"/>
      </left>
      <right style="thin">
        <color rgb="008C9BAE"/>
      </right>
      <top style="medium">
        <color rgb="001B365D"/>
      </top>
      <bottom style="medium">
        <color rgb="001B365D"/>
      </bottom>
    </border>
    <border>
      <left style="thin">
        <color rgb="00D0D7DE"/>
      </left>
      <right style="thin">
        <color rgb="00D0D7DE"/>
      </right>
      <top style="thin">
        <color rgb="002C4D75"/>
      </top>
      <bottom style="double">
        <color rgb="001B365D"/>
      </bottom>
    </border>
    <border>
      <left/>
      <right/>
      <top style="thin">
        <color rgb="00D0D7DE"/>
      </top>
      <bottom/>
      <diagonal/>
    </border>
    <border>
      <left/>
      <right style="thin">
        <color rgb="00D0D7DE"/>
      </right>
      <top style="thin">
        <color rgb="00D0D7DE"/>
      </top>
      <bottom/>
      <diagonal/>
    </border>
    <border>
      <left/>
      <right/>
      <top style="thin">
        <color rgb="00D0D7DE"/>
      </top>
      <bottom style="thin">
        <color rgb="00D0D7DE"/>
      </bottom>
      <diagonal/>
    </border>
    <border>
      <left/>
      <right style="thin">
        <color rgb="00D0D7DE"/>
      </right>
      <top style="thin">
        <color rgb="00D0D7DE"/>
      </top>
      <bottom style="thin">
        <color rgb="00D0D7DE"/>
      </bottom>
      <diagonal/>
    </border>
    <border>
      <left style="thin">
        <color rgb="00D0D7DE"/>
      </left>
      <right/>
      <top/>
      <bottom/>
      <diagonal/>
    </border>
    <border>
      <left/>
      <right style="thin">
        <color rgb="00D0D7DE"/>
      </right>
      <top/>
      <bottom/>
      <diagonal/>
    </border>
    <border>
      <left style="thin">
        <color rgb="00D0D7DE"/>
      </left>
      <right/>
      <top/>
      <bottom style="thin">
        <color rgb="00D0D7DE"/>
      </bottom>
      <diagonal/>
    </border>
    <border>
      <left/>
      <right style="thin">
        <color rgb="00D0D7DE"/>
      </right>
      <top/>
      <bottom style="thin">
        <color rgb="00D0D7DE"/>
      </bottom>
      <diagonal/>
    </border>
    <border>
      <left/>
      <right/>
      <top style="thin">
        <color rgb="002C4D75"/>
      </top>
      <bottom/>
      <diagonal/>
    </border>
    <border>
      <left/>
      <right style="thin">
        <color rgb="00D0D7DE"/>
      </right>
      <top style="thin">
        <color rgb="002C4D75"/>
      </top>
      <bottom/>
      <diagonal/>
    </border>
    <border>
      <left/>
      <right/>
      <top style="thin">
        <color rgb="002C4D75"/>
      </top>
      <bottom style="double">
        <color rgb="001B365D"/>
      </bottom>
      <diagonal/>
    </border>
    <border>
      <left/>
      <right style="thin">
        <color rgb="00D0D7DE"/>
      </right>
      <top style="thin">
        <color rgb="002C4D75"/>
      </top>
      <bottom style="double">
        <color rgb="001B365D"/>
      </bottom>
      <diagonal/>
    </border>
    <border>
      <left/>
      <right/>
      <top/>
      <bottom style="thin">
        <color rgb="00D0D7DE"/>
      </bottom>
      <diagonal/>
    </border>
    <border>
      <left/>
      <right/>
      <top style="medium">
        <color rgb="001B365D"/>
      </top>
      <bottom/>
      <diagonal/>
    </border>
    <border>
      <left/>
      <right style="thin">
        <color rgb="008C9BAE"/>
      </right>
      <top style="medium">
        <color rgb="001B365D"/>
      </top>
      <bottom/>
      <diagonal/>
    </border>
    <border>
      <left/>
      <right/>
      <top style="medium">
        <color rgb="001B365D"/>
      </top>
      <bottom style="medium">
        <color rgb="001B365D"/>
      </bottom>
      <diagonal/>
    </border>
    <border>
      <left/>
      <right style="thin">
        <color rgb="008C9BAE"/>
      </right>
      <top style="medium">
        <color rgb="001B365D"/>
      </top>
      <bottom style="medium">
        <color rgb="001B365D"/>
      </bottom>
      <diagonal/>
    </border>
  </borders>
  <cellStyleXfs count="1">
    <xf numFmtId="0" fontId="0" fillId="0" borderId="0"/>
  </cellStyleXfs>
  <cellXfs count="7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0" fillId="0" borderId="1" pivotButton="0" quotePrefix="0" xfId="0"/>
    <xf numFmtId="164" fontId="4" fillId="5" borderId="1" applyAlignment="1" pivotButton="0" quotePrefix="0" xfId="0">
      <alignment horizontal="center" vertical="center" wrapText="1"/>
    </xf>
    <xf numFmtId="165" fontId="4" fillId="5" borderId="1" applyAlignment="1" pivotButton="0" quotePrefix="0" xfId="0">
      <alignment horizontal="center" vertical="center" wrapText="1"/>
    </xf>
    <xf numFmtId="166" fontId="4" fillId="5" borderId="1" applyAlignment="1" pivotButton="0" quotePrefix="0" xfId="0">
      <alignment horizontal="center" vertical="center" wrapText="1"/>
    </xf>
    <xf numFmtId="167" fontId="4" fillId="5" borderId="1" applyAlignment="1" pivotButton="0" quotePrefix="0" xfId="0">
      <alignment horizontal="center" vertical="center" wrapText="1"/>
    </xf>
    <xf numFmtId="168" fontId="4" fillId="5" borderId="1" applyAlignment="1" pivotButton="0" quotePrefix="0" xfId="0">
      <alignment horizontal="center" vertical="center" wrapText="1"/>
    </xf>
    <xf numFmtId="0" fontId="5" fillId="3" borderId="0" applyAlignment="1" pivotButton="0" quotePrefix="0" xfId="0">
      <alignment horizontal="left" vertical="center" wrapText="1"/>
    </xf>
    <xf numFmtId="0" fontId="6" fillId="2" borderId="2"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5" borderId="1" pivotButton="0" quotePrefix="0" xfId="0"/>
    <xf numFmtId="0" fontId="8"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6" borderId="1" pivotButton="0" quotePrefix="0" xfId="0"/>
    <xf numFmtId="0" fontId="8" fillId="6" borderId="1" applyAlignment="1" pivotButton="0" quotePrefix="0" xfId="0">
      <alignment horizontal="center" vertical="center" wrapText="1"/>
    </xf>
    <xf numFmtId="0" fontId="8" fillId="5" borderId="1" applyAlignment="1" pivotButton="0" quotePrefix="0" xfId="0">
      <alignment horizontal="left" vertical="center" wrapText="1"/>
    </xf>
    <xf numFmtId="0" fontId="9" fillId="5" borderId="1" pivotButton="0" quotePrefix="0" xfId="0"/>
    <xf numFmtId="0" fontId="9" fillId="5" borderId="1" applyAlignment="1" pivotButton="0" quotePrefix="0" xfId="0">
      <alignment horizontal="left" vertical="center" wrapText="1"/>
    </xf>
    <xf numFmtId="0" fontId="8" fillId="6" borderId="1" applyAlignment="1" pivotButton="0" quotePrefix="0" xfId="0">
      <alignment horizontal="left" vertical="center" wrapText="1"/>
    </xf>
    <xf numFmtId="0" fontId="9" fillId="6" borderId="1" pivotButton="0" quotePrefix="0" xfId="0"/>
    <xf numFmtId="0" fontId="9" fillId="6" borderId="1" applyAlignment="1" pivotButton="0" quotePrefix="0" xfId="0">
      <alignment horizontal="left" vertical="center" wrapText="1"/>
    </xf>
    <xf numFmtId="0" fontId="8" fillId="7" borderId="3" applyAlignment="1" pivotButton="0" quotePrefix="0" xfId="0">
      <alignment horizontal="left" vertical="center" wrapText="1"/>
    </xf>
    <xf numFmtId="0" fontId="8" fillId="7" borderId="3" pivotButton="0" quotePrefix="0" xfId="0"/>
    <xf numFmtId="0" fontId="8" fillId="7" borderId="3" applyAlignment="1" pivotButton="0" quotePrefix="0" xfId="0">
      <alignment horizontal="center" vertical="center" wrapText="1"/>
    </xf>
    <xf numFmtId="0" fontId="5" fillId="3" borderId="0" applyAlignment="1" pivotButton="0" quotePrefix="0" xfId="0">
      <alignment horizontal="left" vertical="center"/>
    </xf>
    <xf numFmtId="0" fontId="12" fillId="5" borderId="1" applyAlignment="1" pivotButton="0" quotePrefix="0" xfId="0">
      <alignment horizontal="center" vertical="center" wrapText="1"/>
    </xf>
    <xf numFmtId="0" fontId="10" fillId="6" borderId="1" applyAlignment="1" pivotButton="0" quotePrefix="0" xfId="0">
      <alignment horizontal="left" vertical="center" wrapText="1"/>
    </xf>
    <xf numFmtId="0" fontId="7" fillId="6" borderId="1" applyAlignment="1" pivotButton="0" quotePrefix="0" xfId="0">
      <alignment horizontal="right" vertical="center"/>
    </xf>
    <xf numFmtId="0" fontId="8" fillId="6" borderId="1" applyAlignment="1" pivotButton="0" quotePrefix="0" xfId="0">
      <alignment horizontal="right" vertical="center"/>
    </xf>
    <xf numFmtId="0" fontId="10" fillId="5" borderId="1" applyAlignment="1" pivotButton="0" quotePrefix="0" xfId="0">
      <alignment horizontal="left" vertical="center" wrapText="1"/>
    </xf>
    <xf numFmtId="0" fontId="7" fillId="5" borderId="1" applyAlignment="1" pivotButton="0" quotePrefix="0" xfId="0">
      <alignment horizontal="right" vertical="center"/>
    </xf>
    <xf numFmtId="0" fontId="8" fillId="5" borderId="1" applyAlignment="1" pivotButton="0" quotePrefix="0" xfId="0">
      <alignment horizontal="right" vertical="center"/>
    </xf>
    <xf numFmtId="0" fontId="7" fillId="8" borderId="1" applyAlignment="1" pivotButton="0" quotePrefix="0" xfId="0">
      <alignment horizontal="left" vertical="center" wrapText="1"/>
    </xf>
    <xf numFmtId="169" fontId="7" fillId="5" borderId="1" applyAlignment="1" pivotButton="0" quotePrefix="0" xfId="0">
      <alignment horizontal="center" vertical="center" wrapText="1"/>
    </xf>
    <xf numFmtId="164" fontId="7" fillId="5" borderId="1" applyAlignment="1" pivotButton="0" quotePrefix="0" xfId="0">
      <alignment horizontal="right" vertical="center"/>
    </xf>
    <xf numFmtId="169" fontId="7" fillId="6" borderId="1" applyAlignment="1" pivotButton="0" quotePrefix="0" xfId="0">
      <alignment horizontal="center" vertical="center" wrapText="1"/>
    </xf>
    <xf numFmtId="164" fontId="7" fillId="6" borderId="1" applyAlignment="1" pivotButton="0" quotePrefix="0" xfId="0">
      <alignment horizontal="right" vertical="center"/>
    </xf>
    <xf numFmtId="0" fontId="8" fillId="0" borderId="3" pivotButton="0" quotePrefix="0" xfId="0"/>
    <xf numFmtId="0" fontId="8" fillId="7" borderId="3" applyAlignment="1" pivotButton="0" quotePrefix="0" xfId="0">
      <alignment horizontal="right" vertical="center"/>
    </xf>
    <xf numFmtId="0" fontId="8" fillId="0" borderId="3" applyAlignment="1" pivotButton="0" quotePrefix="0" xfId="0">
      <alignment horizontal="right" vertical="center"/>
    </xf>
    <xf numFmtId="0" fontId="8" fillId="0" borderId="3" applyAlignment="1" pivotButton="0" quotePrefix="0" xfId="0">
      <alignment horizontal="center" vertical="center" wrapText="1"/>
    </xf>
    <xf numFmtId="164" fontId="8" fillId="7" borderId="3" applyAlignment="1" pivotButton="0" quotePrefix="0" xfId="0">
      <alignment horizontal="right" vertical="center"/>
    </xf>
    <xf numFmtId="0" fontId="8" fillId="9" borderId="1" applyAlignment="1" pivotButton="0" quotePrefix="0" xfId="0">
      <alignment horizontal="center" vertical="center" wrapText="1"/>
    </xf>
    <xf numFmtId="0" fontId="7" fillId="9" borderId="1" applyAlignment="1" pivotButton="0" quotePrefix="0" xfId="0">
      <alignment horizontal="left" vertical="center" wrapText="1"/>
    </xf>
    <xf numFmtId="0" fontId="7" fillId="9" borderId="1" applyAlignment="1" pivotButton="0" quotePrefix="0" xfId="0">
      <alignment horizontal="right" vertical="center"/>
    </xf>
    <xf numFmtId="0" fontId="8"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7" fillId="10" borderId="1" applyAlignment="1" pivotButton="0" quotePrefix="0" xfId="0">
      <alignment horizontal="right" vertical="center"/>
    </xf>
    <xf numFmtId="0" fontId="0" fillId="0" borderId="3" pivotButton="0" quotePrefix="0" xfId="0"/>
    <xf numFmtId="2" fontId="4" fillId="7" borderId="3" applyAlignment="1" pivotButton="0" quotePrefix="0" xfId="0">
      <alignment horizontal="center" vertical="center" wrapText="1"/>
    </xf>
    <xf numFmtId="0" fontId="11" fillId="2" borderId="0" applyAlignment="1" pivotButton="0" quotePrefix="0" xfId="0">
      <alignment horizontal="center" vertical="center" wrapText="1"/>
    </xf>
    <xf numFmtId="170" fontId="8" fillId="6" borderId="1" applyAlignment="1" pivotButton="0" quotePrefix="0" xfId="0">
      <alignment horizontal="right" vertical="center"/>
    </xf>
    <xf numFmtId="170" fontId="8" fillId="5" borderId="1" applyAlignment="1" pivotButton="0" quotePrefix="0" xfId="0">
      <alignment horizontal="right" vertical="center"/>
    </xf>
    <xf numFmtId="0" fontId="0" fillId="0" borderId="7" pivotButton="0" quotePrefix="0" xfId="0"/>
    <xf numFmtId="0" fontId="0" fillId="0" borderId="6" pivotButton="0" quotePrefix="0" xfId="0"/>
    <xf numFmtId="0" fontId="0" fillId="0" borderId="5" pivotButton="0" quotePrefix="0" xfId="0"/>
    <xf numFmtId="0" fontId="0" fillId="0" borderId="4" pivotButton="0" quotePrefix="0" xfId="0"/>
    <xf numFmtId="0" fontId="0" fillId="0" borderId="10" pivotButton="0" quotePrefix="0" xfId="0"/>
    <xf numFmtId="0" fontId="0" fillId="0" borderId="11" pivotButton="0" quotePrefix="0" xfId="0"/>
    <xf numFmtId="0" fontId="0" fillId="0" borderId="16" pivotButton="0" quotePrefix="0" xfId="0"/>
    <xf numFmtId="0" fontId="0" fillId="0" borderId="20" pivotButton="0" quotePrefix="0" xfId="0"/>
    <xf numFmtId="0" fontId="0" fillId="0" borderId="19" pivotButton="0" quotePrefix="0" xfId="0"/>
    <xf numFmtId="0" fontId="0" fillId="0" borderId="14" pivotButton="0" quotePrefix="0" xfId="0"/>
    <xf numFmtId="0" fontId="0" fillId="0" borderId="15" pivotButton="0" quotePrefix="0" xfId="0"/>
    <xf numFmtId="0" fontId="13" fillId="2" borderId="0" applyAlignment="1" pivotButton="0" quotePrefix="0" xfId="0">
      <alignment horizontal="center" vertical="center"/>
    </xf>
    <xf numFmtId="0" fontId="6" fillId="3" borderId="0" applyAlignment="1" pivotButton="0" quotePrefix="0" xfId="0">
      <alignment horizontal="center" vertical="center" wrapText="1"/>
    </xf>
    <xf numFmtId="0" fontId="14" fillId="6" borderId="1" applyAlignment="1" pivotButton="0" quotePrefix="0" xfId="0">
      <alignment vertical="center"/>
    </xf>
    <xf numFmtId="0" fontId="15" fillId="6" borderId="1" applyAlignment="1" pivotButton="0" quotePrefix="0" xfId="0">
      <alignment vertical="center"/>
    </xf>
    <xf numFmtId="0" fontId="14" fillId="5" borderId="1" applyAlignment="1" pivotButton="0" quotePrefix="0" xfId="0">
      <alignment vertical="center"/>
    </xf>
    <xf numFmtId="0" fontId="15" fillId="5" borderId="1" applyAlignment="1" pivotButton="0" quotePrefix="0" xfId="0">
      <alignment vertical="center"/>
    </xf>
  </cellXfs>
  <cellStyles count="1">
    <cellStyle name="Normal" xfId="0" builtinId="0" hidden="0"/>
  </cellStyles>
  <dxfs count="4">
    <dxf>
      <font>
        <name val="Calibri"/>
        <b val="1"/>
        <color rgb="00155724"/>
        <sz val="10"/>
      </font>
      <fill>
        <patternFill patternType="solid">
          <fgColor rgb="00D4EDDA"/>
          <bgColor rgb="00D4EDDA"/>
        </patternFill>
      </fill>
    </dxf>
    <dxf>
      <font>
        <name val="Calibri"/>
        <b val="1"/>
        <color rgb="00856404"/>
        <sz val="10"/>
      </font>
      <fill>
        <patternFill patternType="solid">
          <fgColor rgb="00FFF3CD"/>
          <bgColor rgb="00FFF3CD"/>
        </patternFill>
      </fill>
    </dxf>
    <dxf>
      <font>
        <name val="Calibri"/>
        <b val="1"/>
        <color rgb="00721C24"/>
        <sz val="10"/>
      </font>
      <fill>
        <patternFill patternType="solid">
          <fgColor rgb="00F8D7DA"/>
          <bgColor rgb="00F8D7DA"/>
        </patternFill>
      </fill>
    </dxf>
    <dxf>
      <font>
        <name val="Calibri"/>
        <b val="1"/>
        <color rgb="000C5460"/>
        <sz val="10"/>
      </font>
      <fill>
        <patternFill patternType="solid">
          <fgColor rgb="00D1ECF1"/>
          <bgColor rgb="00D1ECF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lfedge.org/resources/whitepapers/" TargetMode="External" Id="rId1"/><Relationship Type="http://schemas.openxmlformats.org/officeDocument/2006/relationships/hyperlink" Target="https://doi.org/10.1109/JIOT.2016.2579198" TargetMode="External" Id="rId2"/><Relationship Type="http://schemas.openxmlformats.org/officeDocument/2006/relationships/hyperlink" Target="https://cs144.github.io/" TargetMode="External" Id="rId3"/><Relationship Type="http://schemas.openxmlformats.org/officeDocument/2006/relationships/hyperlink" Target="https://www.youtube.com/playlist?list=PLAwxTw4SYaPkA_TlycMocPkWz_aQn_zXw" TargetMode="External" Id="rId4"/><Relationship Type="http://schemas.openxmlformats.org/officeDocument/2006/relationships/hyperlink" Target="https://gaia.cs.umass.edu/kurose_ross/online_lectures.htm" TargetMode="External" Id="rId5"/><Relationship Type="http://schemas.openxmlformats.org/officeDocument/2006/relationships/hyperlink" Target="https://pdos.csail.mit.edu/6.824/" TargetMode="External" Id="rId6"/><Relationship Type="http://schemas.openxmlformats.org/officeDocument/2006/relationships/hyperlink" Target="https://www.youtube.com/playlist?list=PLeKd45zvjcDFUEv_ohr_HdUFe97RItdyB" TargetMode="External" Id="rId7"/><Relationship Type="http://schemas.openxmlformats.org/officeDocument/2006/relationships/hyperlink" Target="https://www.coursera.org/learn/cloud-computing" TargetMode="External" Id="rId8"/><Relationship Type="http://schemas.openxmlformats.org/officeDocument/2006/relationships/hyperlink" Target="https://www.coursera.org/specializations/cloud-computing" TargetMode="External" Id="rId9"/><Relationship Type="http://schemas.openxmlformats.org/officeDocument/2006/relationships/hyperlink" Target="https://serverlessland.com/" TargetMode="External" Id="rId10"/><Relationship Type="http://schemas.openxmlformats.org/officeDocument/2006/relationships/hyperlink" Target="https://www.edx.org/learn/iot-internet-of-things/curtin-university-introduction-to-the-internet-of-things-iot" TargetMode="External" Id="rId11"/><Relationship Type="http://schemas.openxmlformats.org/officeDocument/2006/relationships/hyperlink" Target="https://www.coursera.org/learn/industrial-internet-of-things" TargetMode="External" Id="rId12"/><Relationship Type="http://schemas.openxmlformats.org/officeDocument/2006/relationships/hyperlink" Target="https://github.com/lizrice/containers-from-scratch" TargetMode="External" Id="rId13"/><Relationship Type="http://schemas.openxmlformats.org/officeDocument/2006/relationships/hyperlink" Target="https://www.edx.org/learn/kubernetes/the-linux-foundation-introduction-to-kubernetes" TargetMode="External" Id="rId14"/><Relationship Type="http://schemas.openxmlformats.org/officeDocument/2006/relationships/hyperlink" Target="https://www.edx.org/learn/kubernetes/the-linux-foundation-introduction-to-kubernetes-on-edge-with-k3s" TargetMode="External" Id="rId15"/><Relationship Type="http://schemas.openxmlformats.org/officeDocument/2006/relationships/hyperlink" Target="https://opentelemetry.io/docs/" TargetMode="External" Id="rId16"/><Relationship Type="http://schemas.openxmlformats.org/officeDocument/2006/relationships/hyperlink" Target="https://www.etsi.org/technologies/multi-access-edge-computing" TargetMode="External" Id="rId17"/><Relationship Type="http://schemas.openxmlformats.org/officeDocument/2006/relationships/hyperlink" Target="http://www.cloudbus.org/" TargetMode="External" Id="rId18"/><Relationship Type="http://schemas.openxmlformats.org/officeDocument/2006/relationships/hyperlink" Target="https://www.coursera.org/learn/5g-network-architecture" TargetMode="External" Id="rId19"/><Relationship Type="http://schemas.openxmlformats.org/officeDocument/2006/relationships/hyperlink" Target="https://www.6gflagship.com/" TargetMode="External" Id="rId20"/><Relationship Type="http://schemas.openxmlformats.org/officeDocument/2006/relationships/hyperlink" Target="https://tinyml.seas.harvard.edu/" TargetMode="External" Id="rId21"/><Relationship Type="http://schemas.openxmlformats.org/officeDocument/2006/relationships/hyperlink" Target="https://flower.ai/docs/framework/" TargetMode="External" Id="rId22"/><Relationship Type="http://schemas.openxmlformats.org/officeDocument/2006/relationships/hyperlink" Target="https://arxiv.org/abs/1811.08504" TargetMode="External" Id="rId23"/><Relationship Type="http://schemas.openxmlformats.org/officeDocument/2006/relationships/hyperlink" Target="https://web.stanford.edu/class/ee364a/" TargetMode="External" Id="rId24"/><Relationship Type="http://schemas.openxmlformats.org/officeDocument/2006/relationships/hyperlink" Target="https://www.youtube.com/playlist?list=PLqYmG7hTraZDM-OYHWgPebj2MfCFzFObQ" TargetMode="External" Id="rId25"/><Relationship Type="http://schemas.openxmlformats.org/officeDocument/2006/relationships/hyperlink" Target="https://crypto.stanford.edu/cs255/" TargetMode="External" Id="rId26"/><Relationship Type="http://schemas.openxmlformats.org/officeDocument/2006/relationships/hyperlink" Target="https://arxiv.org/abs/1912.04977" TargetMode="External" Id="rId27"/><Relationship Type="http://schemas.openxmlformats.org/officeDocument/2006/relationships/hyperlink" Target="https://github.com/CagataySonmez/EdgeCloudSim" TargetMode="External" Id="rId28"/><Relationship Type="http://schemas.openxmlformats.org/officeDocument/2006/relationships/hyperlink" Target="https://www.nsnam.org/docs/tutorial/html/" TargetMode="External" Id="rId29"/><Relationship Type="http://schemas.openxmlformats.org/officeDocument/2006/relationships/hyperlink" Target="https://www.coursera.org/learn/sciwrite" TargetMode="External" Id="rId30"/><Relationship Type="http://schemas.openxmlformats.org/officeDocument/2006/relationships/hyperlink" Target="https://www.overleaf.com/learn" TargetMode="External" Id="rId31"/></Relationships>
</file>

<file path=xl/worksheets/_rels/sheet5.xml.rels><Relationships xmlns="http://schemas.openxmlformats.org/package/2006/relationships"><Relationship Type="http://schemas.openxmlformats.org/officeDocument/2006/relationships/hyperlink" Target="https://www.lfedge.org/resources/whitepapers/" TargetMode="External" Id="rId1"/><Relationship Type="http://schemas.openxmlformats.org/officeDocument/2006/relationships/hyperlink" Target="https://cs144.github.io/" TargetMode="External" Id="rId2"/><Relationship Type="http://schemas.openxmlformats.org/officeDocument/2006/relationships/hyperlink" Target="https://www.youtube.com/playlist?list=PLAwxTw4SYaPkA_TlycMocPkWz_aQn_zXw" TargetMode="External" Id="rId3"/><Relationship Type="http://schemas.openxmlformats.org/officeDocument/2006/relationships/hyperlink" Target="https://pdos.csail.mit.edu/6.824/" TargetMode="External" Id="rId4"/><Relationship Type="http://schemas.openxmlformats.org/officeDocument/2006/relationships/hyperlink" Target="https://www.youtube.com/playlist?list=PLeKd45zvjcDFUEv_ohr_HdUFe97RItdyB" TargetMode="External" Id="rId5"/><Relationship Type="http://schemas.openxmlformats.org/officeDocument/2006/relationships/hyperlink" Target="https://github.com/lizrice/containers-from-scratch" TargetMode="External" Id="rId6"/><Relationship Type="http://schemas.openxmlformats.org/officeDocument/2006/relationships/hyperlink" Target="https://www.edx.org/learn/kubernetes/the-linux-foundation-introduction-to-kubernetes-on-edge-with-k3s" TargetMode="External" Id="rId7"/><Relationship Type="http://schemas.openxmlformats.org/officeDocument/2006/relationships/hyperlink" Target="https://www.etsi.org/technologies/multi-access-edge-computing" TargetMode="External" Id="rId8"/><Relationship Type="http://schemas.openxmlformats.org/officeDocument/2006/relationships/hyperlink" Target="https://www.coursera.org/learn/5g-network-architecture" TargetMode="External" Id="rId9"/><Relationship Type="http://schemas.openxmlformats.org/officeDocument/2006/relationships/hyperlink" Target="https://web.stanford.edu/class/ee364a/" TargetMode="External" Id="rId10"/><Relationship Type="http://schemas.openxmlformats.org/officeDocument/2006/relationships/hyperlink" Target="https://tinyml.seas.harvard.edu/" TargetMode="External" Id="rId11"/><Relationship Type="http://schemas.openxmlformats.org/officeDocument/2006/relationships/hyperlink" Target="https://flower.ai/docs/framework/" TargetMode="External" Id="rId12"/><Relationship Type="http://schemas.openxmlformats.org/officeDocument/2006/relationships/hyperlink" Target="https://github.com/CagataySonmez/EdgeCloudSim" TargetMode="External" Id="rId13"/><Relationship Type="http://schemas.openxmlformats.org/officeDocument/2006/relationships/hyperlink" Target="https://www.coursera.org/learn/sciwrite" TargetMode="External" Id="rId14"/></Relationships>
</file>

<file path=xl/worksheets/_rels/sheet6.xml.rels><Relationships xmlns="http://schemas.openxmlformats.org/package/2006/relationships"><Relationship Type="http://schemas.openxmlformats.org/officeDocument/2006/relationships/hyperlink" Target="https://doi.org/10.1109/MPRV.2009.82" TargetMode="External" Id="rId1"/><Relationship Type="http://schemas.openxmlformats.org/officeDocument/2006/relationships/hyperlink" Target="https://doi.org/10.1145/2342509.2342513" TargetMode="External" Id="rId2"/><Relationship Type="http://schemas.openxmlformats.org/officeDocument/2006/relationships/hyperlink" Target="https://doi.org/10.1109/JIOT.2016.2579198" TargetMode="External" Id="rId3"/><Relationship Type="http://schemas.openxmlformats.org/officeDocument/2006/relationships/hyperlink" Target="https://doi.org/10.1109/COMST.2017.2745201" TargetMode="External" Id="rId4"/><Relationship Type="http://schemas.openxmlformats.org/officeDocument/2006/relationships/hyperlink" Target="https://arxiv.org/abs/1602.05629" TargetMode="External" Id="rId5"/><Relationship Type="http://schemas.openxmlformats.org/officeDocument/2006/relationships/hyperlink" Target="https://arxiv.org/abs/1811.08504" TargetMode="External" Id="rId6"/><Relationship Type="http://schemas.openxmlformats.org/officeDocument/2006/relationships/hyperlink" Target="https://arxiv.org/abs/1907.08349" TargetMode="External" Id="rId7"/><Relationship Type="http://schemas.openxmlformats.org/officeDocument/2006/relationships/hyperlink" Target="https://doi.org/10.1109/ACCESS.2020.2978114" TargetMode="External" Id="rId8"/><Relationship Type="http://schemas.openxmlformats.org/officeDocument/2006/relationships/hyperlink" Target="https://arxiv.org/abs/1912.04977" TargetMode="External" Id="rId9"/><Relationship Type="http://schemas.openxmlformats.org/officeDocument/2006/relationships/hyperlink" Target="https://arxiv.org/abs/1902.06700" TargetMode="External" Id="rId10"/><Relationship Type="http://schemas.openxmlformats.org/officeDocument/2006/relationships/hyperlink" Target="https://doi.org/10.1002/ett.3493" TargetMode="External" Id="rId11"/><Relationship Type="http://schemas.openxmlformats.org/officeDocument/2006/relationships/hyperlink" Target="https://inria.hal.science/inria-00555588" TargetMode="External" Id="rId12"/><Relationship Type="http://schemas.openxmlformats.org/officeDocument/2006/relationships/hyperlink" Target="https://arxiv.org/abs/2202.04936" TargetMode="External" Id="rId13"/></Relationships>
</file>

<file path=xl/worksheets/_rels/sheet9.xml.rels><Relationships xmlns="http://schemas.openxmlformats.org/package/2006/relationships"><Relationship Type="http://schemas.openxmlformats.org/officeDocument/2006/relationships/hyperlink" Target="https://github.com/CagataySonmez/EdgeCloudSim" TargetMode="External" Id="rId1"/><Relationship Type="http://schemas.openxmlformats.org/officeDocument/2006/relationships/hyperlink" Target="https://github.com/Cloudslab/iFogSim" TargetMode="External" Id="rId2"/><Relationship Type="http://schemas.openxmlformats.org/officeDocument/2006/relationships/hyperlink" Target="https://github.com/cloudsimplus/cloudsimplus" TargetMode="External" Id="rId3"/><Relationship Type="http://schemas.openxmlformats.org/officeDocument/2006/relationships/hyperlink" Target="https://www.nsnam.org/" TargetMode="External" Id="rId4"/><Relationship Type="http://schemas.openxmlformats.org/officeDocument/2006/relationships/hyperlink" Target="https://simu5g.org/" TargetMode="External" Id="rId5"/><Relationship Type="http://schemas.openxmlformats.org/officeDocument/2006/relationships/hyperlink" Target="http://mininet.org/" TargetMode="External" Id="rId6"/><Relationship Type="http://schemas.openxmlformats.org/officeDocument/2006/relationships/hyperlink" Target="https://k3s.io/" TargetMode="External" Id="rId7"/></Relationships>
</file>

<file path=xl/worksheets/_rels/sheet12.xml.rels><Relationships xmlns="http://schemas.openxmlformats.org/package/2006/relationships"><Relationship Type="http://schemas.openxmlformats.org/officeDocument/2006/relationships/hyperlink" Target="https://www.polyu.edu.hk/comp/people/academic-staff/prof-cao-jiannong/" TargetMode="External" Id="rId1"/><Relationship Type="http://schemas.openxmlformats.org/officeDocument/2006/relationships/hyperlink" Target="https://cse.hkust.edu.hk/admin/people/faculty/profile/weiwa" TargetMode="External" Id="rId2"/><Relationship Type="http://schemas.openxmlformats.org/officeDocument/2006/relationships/hyperlink" Target="https://www.cs.hku.hk/people/academic-staff/cwu" TargetMode="External" Id="rId3"/><Relationship Type="http://schemas.openxmlformats.org/officeDocument/2006/relationships/hyperlink" Target="https://www.polyu.edu.hk/comp/people/academic-staff/prof-guo-song/" TargetMode="External" Id="rId4"/><Relationship Type="http://schemas.openxmlformats.org/officeDocument/2006/relationships/hyperlink" Target="https://cse.hkust.edu.hk/admin/people/faculty/profile/linwang" TargetMode="External" Id="rId5"/><Relationship Type="http://schemas.openxmlformats.org/officeDocument/2006/relationships/hyperlink" Target="https://www.cs.cityu.edu.hk/people/academic-staff/jianwang" TargetMode="External" Id="rId6"/><Relationship Type="http://schemas.openxmlformats.org/officeDocument/2006/relationships/hyperlink" Target="https://www.ie.cuhk.edu.hk/people/minghua.shtml" TargetMode="External" Id="rId7"/><Relationship Type="http://schemas.openxmlformats.org/officeDocument/2006/relationships/hyperlink" Target="https://www.cs.hku.hk/people/academic-staff/heming" TargetMode="External" Id="rId8"/><Relationship Type="http://schemas.openxmlformats.org/officeDocument/2006/relationships/hyperlink" Target="https://www.cse.cuhk.edu.hk/people/faculty/john-c-s-lui/" TargetMode="External" Id="rId9"/><Relationship Type="http://schemas.openxmlformats.org/officeDocument/2006/relationships/hyperlink" Target="https://www.comp.hkbu.edu.hk/v1/?page=profile&amp;id=chxw" TargetMode="External" Id="rId10"/><Relationship Type="http://schemas.openxmlformats.org/officeDocument/2006/relationships/hyperlink" Target="https://www.ln.edu.hk/sds/people/faculty/prof-kwong-tak-wu-sam" TargetMode="External" Id="rId11"/><Relationship Type="http://schemas.openxmlformats.org/officeDocument/2006/relationships/hyperlink" Target="https://www.eduhk.hk/mit/people/academic-staff/yu-leung-ho-philip" TargetMode="External" Id="rId12"/></Relationships>
</file>

<file path=xl/worksheets/_rels/sheet13.xml.rels><Relationships xmlns="http://schemas.openxmlformats.org/package/2006/relationships"><Relationship Type="http://schemas.openxmlformats.org/officeDocument/2006/relationships/hyperlink" Target="https://cerg1.ugc.edu.hk/hkpfs/index.html" TargetMode="External" Id="rId1"/><Relationship Type="http://schemas.openxmlformats.org/officeDocument/2006/relationships/hyperlink" Target="https://gradsch.hku.hk/prospective-students/fees-scholarships-and-financial-aid/hku-presidential-phd-scholarship" TargetMode="External" Id="rId2"/><Relationship Type="http://schemas.openxmlformats.org/officeDocument/2006/relationships/hyperlink" Target="https://fytgs.hkust.edu.hk/scholarships/hkust-redbird-phd-award-scheme" TargetMode="External" Id="rId3"/><Relationship Type="http://schemas.openxmlformats.org/officeDocument/2006/relationships/hyperlink" Target="https://www.gs.cuhk.edu.hk/admissions/scholarships-fees/scholarships" TargetMode="External" Id="rId4"/><Relationship Type="http://schemas.openxmlformats.org/officeDocument/2006/relationships/hyperlink" Target="https://www.polyu.edu.hk/gs/financial-support/scholarships-and-awards/" TargetMode="External" Id="rId5"/><Relationship Type="http://schemas.openxmlformats.org/officeDocument/2006/relationships/hyperlink" Target="https://www.cityu.edu.hk/pg/research-degree-programmes/scholarships-financial-aid-and-fees" TargetMode="External" Id="rId6"/><Relationship Type="http://schemas.openxmlformats.org/officeDocument/2006/relationships/hyperlink" Target="https://gs.hkbu.edu.hk/fees-and-scholarships/scholarships" TargetMode="External" Id="rId7"/><Relationship Type="http://schemas.openxmlformats.org/officeDocument/2006/relationships/hyperlink" Target="https://www.ln.edu.hk/sgs/financial-support/rpg" TargetMode="External" Id="rId8"/><Relationship Type="http://schemas.openxmlformats.org/officeDocument/2006/relationships/hyperlink" Target="https://www.eduhk.hk/gradsch/index.php/prospective-students/fees-and-scholarships.html" TargetMode="External" Id="rId9"/></Relationships>
</file>

<file path=xl/worksheets/sheet1.xml><?xml version="1.0" encoding="utf-8"?>
<worksheet xmlns="http://schemas.openxmlformats.org/spreadsheetml/2006/main">
  <sheetPr>
    <outlinePr summaryBelow="1" summaryRight="1"/>
    <pageSetUpPr/>
  </sheetPr>
  <dimension ref="A1:M33"/>
  <sheetViews>
    <sheetView showGridLines="1" workbookViewId="0">
      <selection activeCell="A1" sqref="A1"/>
    </sheetView>
  </sheetViews>
  <sheetFormatPr baseColWidth="8" defaultRowHeight="15"/>
  <cols>
    <col width="14" customWidth="1" min="1" max="1"/>
    <col width="12" customWidth="1" min="2" max="2"/>
    <col width="16" customWidth="1" min="3" max="3"/>
    <col width="16" customWidth="1" min="4" max="4"/>
    <col width="14" customWidth="1" min="5" max="5"/>
    <col width="18" customWidth="1" min="6" max="6"/>
    <col width="20" customWidth="1" min="7" max="7"/>
    <col width="18" customWidth="1" min="8" max="8"/>
    <col width="16" customWidth="1" min="9" max="9"/>
    <col width="16" customWidth="1" min="10" max="10"/>
    <col width="22" customWidth="1" min="11" max="11"/>
    <col width="15" customWidth="1" min="12" max="12"/>
    <col width="15" customWidth="1" min="13" max="13"/>
  </cols>
  <sheetData>
    <row r="1">
      <c r="A1" s="1" t="inlineStr">
        <is>
          <t>PhD EDGE COMPUTING RESEARCH PREPARATION &amp; PROGRESS DASHBOARD</t>
        </is>
      </c>
    </row>
    <row r="2"/>
    <row r="3">
      <c r="A3" s="2" t="inlineStr">
        <is>
          <t>100% Free Open-Access Edition | Target: PhD Admissions | Duration: 24 Weeks (7-10 hrs/week) | Zero Paywalls</t>
        </is>
      </c>
    </row>
    <row r="5">
      <c r="A5" s="3" t="inlineStr">
        <is>
          <t>PROGRAM PROGRESS</t>
        </is>
      </c>
      <c r="B5" s="58" t="n"/>
      <c r="C5" s="3" t="inlineStr">
        <is>
          <t>TOTAL HOURS LOGGED</t>
        </is>
      </c>
      <c r="D5" s="58" t="n"/>
      <c r="E5" s="3" t="inlineStr">
        <is>
          <t>TARGET HOURS</t>
        </is>
      </c>
      <c r="F5" s="58" t="n"/>
      <c r="G5" s="3" t="inlineStr">
        <is>
          <t>COURSES COMPLETED</t>
        </is>
      </c>
      <c r="H5" s="58" t="n"/>
      <c r="I5" s="3" t="inlineStr">
        <is>
          <t>PAPERS ANALYZED</t>
        </is>
      </c>
      <c r="J5" s="58" t="n"/>
      <c r="K5" s="3" t="inlineStr">
        <is>
          <t>PhD READINESS INDEX</t>
        </is>
      </c>
      <c r="L5" s="59" t="n"/>
      <c r="M5" s="58" t="n"/>
    </row>
    <row r="6">
      <c r="A6" s="5">
        <f>AVERAGE('Weekly Progress Tracker'!P5:P28)</f>
        <v/>
      </c>
      <c r="B6" s="60" t="n"/>
      <c r="C6" s="6">
        <f>SUM('Weekly Progress Tracker'!F5:F28)</f>
        <v/>
      </c>
      <c r="D6" s="60" t="n"/>
      <c r="E6" s="6">
        <f>SUM('Weekly Progress Tracker'!E5:E28)</f>
        <v/>
      </c>
      <c r="F6" s="60" t="n"/>
      <c r="G6" s="7">
        <f>COUNTIF('Course Tracker'!M4:M25, "Completed")</f>
        <v/>
      </c>
      <c r="H6" s="60" t="n"/>
      <c r="I6" s="8">
        <f>COUNTIF('Paper Tracker'!I5:I25, "Yes")</f>
        <v/>
      </c>
      <c r="J6" s="60" t="n"/>
      <c r="K6" s="9">
        <f>'PhD Readiness Assessment'!C21</f>
        <v/>
      </c>
      <c r="L6" s="61" t="n"/>
      <c r="M6" s="60" t="n"/>
    </row>
    <row r="7">
      <c r="A7" s="62" t="n"/>
      <c r="B7" s="63" t="n"/>
      <c r="C7" s="62" t="n"/>
      <c r="D7" s="63" t="n"/>
      <c r="E7" s="62" t="n"/>
      <c r="F7" s="63" t="n"/>
      <c r="G7" s="62" t="n"/>
      <c r="H7" s="63" t="n"/>
      <c r="I7" s="62" t="n"/>
      <c r="J7" s="63" t="n"/>
      <c r="K7" s="62" t="n"/>
      <c r="L7" s="64" t="n"/>
      <c r="M7" s="63" t="n"/>
    </row>
    <row r="9">
      <c r="A9" s="10" t="inlineStr">
        <is>
          <t>24-WEEK RESEARCH PREPARATION ROADMAP &amp; MONTHLY MILESTONES</t>
        </is>
      </c>
    </row>
    <row r="10">
      <c r="A10" s="11" t="inlineStr">
        <is>
          <t>Month</t>
        </is>
      </c>
      <c r="B10" s="11" t="inlineStr">
        <is>
          <t>Weeks</t>
        </is>
      </c>
      <c r="C10" s="11" t="inlineStr">
        <is>
          <t>Core Focus Area</t>
        </is>
      </c>
      <c r="D10" s="65" t="n"/>
      <c r="E10" s="11" t="inlineStr">
        <is>
          <t>Key Thematic Modules</t>
        </is>
      </c>
      <c r="F10" s="66" t="n"/>
      <c r="G10" s="65" t="n"/>
      <c r="H10" s="11" t="inlineStr">
        <is>
          <t>Milestone Tangible Deliverable</t>
        </is>
      </c>
      <c r="I10" s="66" t="n"/>
      <c r="J10" s="66" t="n"/>
      <c r="K10" s="65" t="n"/>
      <c r="L10" s="11" t="inlineStr">
        <is>
          <t>Target Date</t>
        </is>
      </c>
      <c r="M10" s="11" t="inlineStr">
        <is>
          <t>Status</t>
        </is>
      </c>
    </row>
    <row r="11">
      <c r="A11" s="12" t="inlineStr">
        <is>
          <t>Month 1</t>
        </is>
      </c>
      <c r="B11" s="12" t="inlineStr">
        <is>
          <t>W1 - W4</t>
        </is>
      </c>
      <c r="C11" s="13" t="inlineStr">
        <is>
          <t>Networking &amp; Edge Foundations</t>
        </is>
      </c>
      <c r="D11" s="58" t="n"/>
      <c r="E11" s="13" t="inlineStr">
        <is>
          <t>Edge Architecture, Network Virtualization, SDN, Protocols (TCP/UDP/MQTT), Wireless IoT</t>
        </is>
      </c>
      <c r="F11" s="59" t="n"/>
      <c r="G11" s="58" t="n"/>
      <c r="H11" s="13" t="inlineStr">
        <is>
          <t>Comprehensive Technical Taxonomy &amp; Comparative Survey: Edge vs Fog vs Cloudlets</t>
        </is>
      </c>
      <c r="I11" s="59" t="n"/>
      <c r="J11" s="59" t="n"/>
      <c r="K11" s="58" t="n"/>
      <c r="L11" s="12" t="inlineStr">
        <is>
          <t>Month 1 End</t>
        </is>
      </c>
      <c r="M11" s="15" t="inlineStr">
        <is>
          <t>In Progress</t>
        </is>
      </c>
    </row>
    <row r="12">
      <c r="A12" s="16" t="inlineStr">
        <is>
          <t>Month 2</t>
        </is>
      </c>
      <c r="B12" s="16" t="inlineStr">
        <is>
          <t>W5 - W8</t>
        </is>
      </c>
      <c r="C12" s="17" t="inlineStr">
        <is>
          <t>Distributed Systems &amp; Consensus</t>
        </is>
      </c>
      <c r="D12" s="58" t="n"/>
      <c r="E12" s="17" t="inlineStr">
        <is>
          <t>Processes, RPC, Logical Clocks, Consistency Models, Raft Consensus, Distributed Storage</t>
        </is>
      </c>
      <c r="F12" s="59" t="n"/>
      <c r="G12" s="58" t="n"/>
      <c r="H12" s="17" t="inlineStr">
        <is>
          <t>Raft Consensus Node Implementation &amp; Edge State Synchronization Protocol Critique</t>
        </is>
      </c>
      <c r="I12" s="59" t="n"/>
      <c r="J12" s="59" t="n"/>
      <c r="K12" s="58" t="n"/>
      <c r="L12" s="16" t="inlineStr">
        <is>
          <t>Month 2 End</t>
        </is>
      </c>
      <c r="M12" s="19" t="inlineStr">
        <is>
          <t>Not Started</t>
        </is>
      </c>
    </row>
    <row r="13">
      <c r="A13" s="12" t="inlineStr">
        <is>
          <t>Month 3</t>
        </is>
      </c>
      <c r="B13" s="12" t="inlineStr">
        <is>
          <t>W9 - W12</t>
        </is>
      </c>
      <c r="C13" s="13" t="inlineStr">
        <is>
          <t>Cloud-Native, K3s &amp; Edge Arch</t>
        </is>
      </c>
      <c r="D13" s="58" t="n"/>
      <c r="E13" s="13" t="inlineStr">
        <is>
          <t>Hypervisors vs Containers, K3s/KubeEdge Orchestration, Serverless Edge, Edge Topologies</t>
        </is>
      </c>
      <c r="F13" s="59" t="n"/>
      <c r="G13" s="58" t="n"/>
      <c r="H13" s="13" t="inlineStr">
        <is>
          <t>Edge-Native Microservice Cluster deployed on K3s with Latency &amp; Resource Benchmarking</t>
        </is>
      </c>
      <c r="I13" s="59" t="n"/>
      <c r="J13" s="59" t="n"/>
      <c r="K13" s="58" t="n"/>
      <c r="L13" s="12" t="inlineStr">
        <is>
          <t>Month 3 End</t>
        </is>
      </c>
      <c r="M13" s="15" t="inlineStr">
        <is>
          <t>Not Started</t>
        </is>
      </c>
    </row>
    <row r="14">
      <c r="A14" s="16" t="inlineStr">
        <is>
          <t>Month 4</t>
        </is>
      </c>
      <c r="B14" s="16" t="inlineStr">
        <is>
          <t>W13 - W16</t>
        </is>
      </c>
      <c r="C14" s="17" t="inlineStr">
        <is>
          <t>5G/6G MEC &amp; Optimization</t>
        </is>
      </c>
      <c r="D14" s="58" t="n"/>
      <c r="E14" s="17" t="inlineStr">
        <is>
          <t>3GPP/ETSI MEC Standards, Network Slicing, URLLC, Task Offloading Models, Convex Optimization</t>
        </is>
      </c>
      <c r="F14" s="59" t="n"/>
      <c r="G14" s="58" t="n"/>
      <c r="H14" s="17" t="inlineStr">
        <is>
          <t>Formulation &amp; CVXPY Implementation of Multi-Device Edge Computation Offloading Model</t>
        </is>
      </c>
      <c r="I14" s="59" t="n"/>
      <c r="J14" s="59" t="n"/>
      <c r="K14" s="58" t="n"/>
      <c r="L14" s="16" t="inlineStr">
        <is>
          <t>Month 4 End</t>
        </is>
      </c>
      <c r="M14" s="19" t="inlineStr">
        <is>
          <t>Not Started</t>
        </is>
      </c>
    </row>
    <row r="15">
      <c r="A15" s="12" t="inlineStr">
        <is>
          <t>Month 5</t>
        </is>
      </c>
      <c r="B15" s="12" t="inlineStr">
        <is>
          <t>W17 - W20</t>
        </is>
      </c>
      <c r="C15" s="13" t="inlineStr">
        <is>
          <t>Edge AI &amp; Security/Privacy</t>
        </is>
      </c>
      <c r="D15" s="58" t="n"/>
      <c r="E15" s="13" t="inlineStr">
        <is>
          <t>Model Compression, Quantization/Pruning, TinyML, Federated Learning (FedAvg), TEEs &amp; Zero Trust</t>
        </is>
      </c>
      <c r="F15" s="59" t="n"/>
      <c r="G15" s="58" t="n"/>
      <c r="H15" s="13" t="inlineStr">
        <is>
          <t>Edge-Cloud Collaborative Inference &amp; Differential Privacy Federated Learning Benchmark</t>
        </is>
      </c>
      <c r="I15" s="59" t="n"/>
      <c r="J15" s="59" t="n"/>
      <c r="K15" s="58" t="n"/>
      <c r="L15" s="12" t="inlineStr">
        <is>
          <t>Month 5 End</t>
        </is>
      </c>
      <c r="M15" s="15" t="inlineStr">
        <is>
          <t>Not Started</t>
        </is>
      </c>
    </row>
    <row r="16">
      <c r="A16" s="16" t="inlineStr">
        <is>
          <t>Month 6</t>
        </is>
      </c>
      <c r="B16" s="16" t="inlineStr">
        <is>
          <t>W21 - W24</t>
        </is>
      </c>
      <c r="C16" s="17" t="inlineStr">
        <is>
          <t>Simulation &amp; PhD Proposal</t>
        </is>
      </c>
      <c r="D16" s="58" t="n"/>
      <c r="E16" s="17" t="inlineStr">
        <is>
          <t>EdgeCloudSim, Discrete Event Modeling, Experimental Design, Academic Writing, Research Gaps</t>
        </is>
      </c>
      <c r="F16" s="59" t="n"/>
      <c r="G16" s="58" t="n"/>
      <c r="H16" s="17" t="inlineStr">
        <is>
          <t>Complete Edge Computing Research Paper / Capstone Report + PhD Research Proposal Draft</t>
        </is>
      </c>
      <c r="I16" s="59" t="n"/>
      <c r="J16" s="59" t="n"/>
      <c r="K16" s="58" t="n"/>
      <c r="L16" s="16" t="inlineStr">
        <is>
          <t>Month 6 End</t>
        </is>
      </c>
      <c r="M16" s="19" t="inlineStr">
        <is>
          <t>Not Started</t>
        </is>
      </c>
    </row>
    <row r="18">
      <c r="A18" s="10" t="inlineStr">
        <is>
          <t>WEEKLY TIME ALLOCATION TARGET (7 - 10 Hours/Week)</t>
        </is>
      </c>
      <c r="H18" s="10" t="inlineStr">
        <is>
          <t>WORKBOOK NAVIGATION DIRECTORY</t>
        </is>
      </c>
    </row>
    <row r="19">
      <c r="A19" s="13" t="inlineStr">
        <is>
          <t>Structured Coursework &amp; Theory</t>
        </is>
      </c>
      <c r="B19" s="59" t="n"/>
      <c r="C19" s="58" t="n"/>
      <c r="D19" s="12" t="inlineStr">
        <is>
          <t>3.0 - 4.0 hrs</t>
        </is>
      </c>
      <c r="E19" s="12" t="inlineStr">
        <is>
          <t>40%</t>
        </is>
      </c>
      <c r="F19" s="13" t="inlineStr">
        <is>
          <t>MIT/Stanford/Coursera free graduate lectures &amp; readings</t>
        </is>
      </c>
      <c r="G19" s="58" t="n"/>
      <c r="H19" s="20" t="inlineStr">
        <is>
          <t>Sheet 2: Master Curriculum</t>
        </is>
      </c>
      <c r="I19" s="59" t="n"/>
      <c r="J19" s="58" t="n"/>
      <c r="K19" s="22" t="inlineStr">
        <is>
          <t>Complete course directory across Levels 0-14 with strictly free resources</t>
        </is>
      </c>
      <c r="L19" s="59" t="n"/>
      <c r="M19" s="58" t="n"/>
    </row>
    <row r="20">
      <c r="A20" s="17" t="inlineStr">
        <is>
          <t>Research Paper Reading &amp; Analysis</t>
        </is>
      </c>
      <c r="B20" s="59" t="n"/>
      <c r="C20" s="58" t="n"/>
      <c r="D20" s="16" t="inlineStr">
        <is>
          <t>2.0 - 2.5 hrs</t>
        </is>
      </c>
      <c r="E20" s="16" t="inlineStr">
        <is>
          <t>25%</t>
        </is>
      </c>
      <c r="F20" s="17" t="inlineStr">
        <is>
          <t>Seminal papers, methodology deconstruction, gap finding</t>
        </is>
      </c>
      <c r="G20" s="58" t="n"/>
      <c r="H20" s="23" t="inlineStr">
        <is>
          <t>Sheet 3: 24-Week Plan</t>
        </is>
      </c>
      <c r="I20" s="59" t="n"/>
      <c r="J20" s="58" t="n"/>
      <c r="K20" s="25" t="inlineStr">
        <is>
          <t>Comprehensive week-by-week curriculum, activities, deliverables, criteria</t>
        </is>
      </c>
      <c r="L20" s="59" t="n"/>
      <c r="M20" s="58" t="n"/>
    </row>
    <row r="21">
      <c r="A21" s="13" t="inlineStr">
        <is>
          <t>Hands-on Systems Lab &amp; Coding</t>
        </is>
      </c>
      <c r="B21" s="59" t="n"/>
      <c r="C21" s="58" t="n"/>
      <c r="D21" s="12" t="inlineStr">
        <is>
          <t>1.5 - 2.0 hrs</t>
        </is>
      </c>
      <c r="E21" s="12" t="inlineStr">
        <is>
          <t>20%</t>
        </is>
      </c>
      <c r="F21" s="13" t="inlineStr">
        <is>
          <t>K3s, Docker, Python CVXPY, TinyML, Raft implementation</t>
        </is>
      </c>
      <c r="G21" s="58" t="n"/>
      <c r="H21" s="20" t="inlineStr">
        <is>
          <t>Sheet 4: Weekly Progress Tracker</t>
        </is>
      </c>
      <c r="I21" s="59" t="n"/>
      <c r="J21" s="58" t="n"/>
      <c r="K21" s="22" t="inlineStr">
        <is>
          <t>Log target vs actual hours, readings, labs, challenges, key learnings</t>
        </is>
      </c>
      <c r="L21" s="59" t="n"/>
      <c r="M21" s="58" t="n"/>
    </row>
    <row r="22">
      <c r="A22" s="17" t="inlineStr">
        <is>
          <t>Research Methodology &amp; Proposal Prep</t>
        </is>
      </c>
      <c r="B22" s="59" t="n"/>
      <c r="C22" s="58" t="n"/>
      <c r="D22" s="16" t="inlineStr">
        <is>
          <t>1.0 - 1.5 hrs</t>
        </is>
      </c>
      <c r="E22" s="16" t="inlineStr">
        <is>
          <t>15%</t>
        </is>
      </c>
      <c r="F22" s="17" t="inlineStr">
        <is>
          <t>LaTeX writing, RQ formulation, experimental design</t>
        </is>
      </c>
      <c r="G22" s="58" t="n"/>
      <c r="H22" s="23" t="inlineStr">
        <is>
          <t>Sheet 5: Course Tracker</t>
        </is>
      </c>
      <c r="I22" s="59" t="n"/>
      <c r="J22" s="58" t="n"/>
      <c r="K22" s="25" t="inlineStr">
        <is>
          <t>Track enrolled free courses, URLs, progress %, ratings, milestones</t>
        </is>
      </c>
      <c r="L22" s="59" t="n"/>
      <c r="M22" s="58" t="n"/>
    </row>
    <row r="23">
      <c r="A23" s="26" t="inlineStr">
        <is>
          <t>Total Weekly Investment</t>
        </is>
      </c>
      <c r="B23" s="67" t="n"/>
      <c r="C23" s="68" t="n"/>
      <c r="D23" s="28" t="inlineStr">
        <is>
          <t>7.5 - 10.0 hrs</t>
        </is>
      </c>
      <c r="E23" s="28" t="inlineStr">
        <is>
          <t>100%</t>
        </is>
      </c>
      <c r="F23" s="26" t="inlineStr">
        <is>
          <t>100% Free Open-Access study plan tailored for PhD applicant</t>
        </is>
      </c>
      <c r="G23" s="68" t="n"/>
      <c r="H23" s="20" t="inlineStr">
        <is>
          <t>Sheet 6: Paper Tracker</t>
        </is>
      </c>
      <c r="I23" s="59" t="n"/>
      <c r="J23" s="58" t="n"/>
      <c r="K23" s="22" t="inlineStr">
        <is>
          <t>25+ seminal/modern open-access research papers, RQs, methodologies, gaps</t>
        </is>
      </c>
      <c r="L23" s="59" t="n"/>
      <c r="M23" s="58" t="n"/>
    </row>
    <row r="24">
      <c r="H24" s="23" t="inlineStr">
        <is>
          <t>Sheet 7: Research Ideas (Idea Bank)</t>
        </is>
      </c>
      <c r="I24" s="59" t="n"/>
      <c r="J24" s="58" t="n"/>
      <c r="K24" s="25" t="inlineStr">
        <is>
          <t>Problem statements, research questions, methodologies for PhD proposal</t>
        </is>
      </c>
      <c r="L24" s="59" t="n"/>
      <c r="M24" s="58" t="n"/>
    </row>
    <row r="25">
      <c r="H25" s="20" t="inlineStr">
        <is>
          <t>Sheet 8: Skills Matrix</t>
        </is>
      </c>
      <c r="I25" s="59" t="n"/>
      <c r="J25" s="58" t="n"/>
      <c r="K25" s="22" t="inlineStr">
        <is>
          <t>Current vs target competency levels (0-5) across 21 Edge research skills</t>
        </is>
      </c>
      <c r="L25" s="59" t="n"/>
      <c r="M25" s="58" t="n"/>
    </row>
    <row r="26">
      <c r="H26" s="23" t="inlineStr">
        <is>
          <t>Sheet 9: Simulation &amp; Tools Guide</t>
        </is>
      </c>
      <c r="I26" s="59" t="n"/>
      <c r="J26" s="58" t="n"/>
      <c r="K26" s="25" t="inlineStr">
        <is>
          <t>EdgeCloudSim, iFogSim, CloudSim, ns-3, Mininet, K3s open-source analysis</t>
        </is>
      </c>
      <c r="L26" s="59" t="n"/>
      <c r="M26" s="58" t="n"/>
    </row>
    <row r="27">
      <c r="H27" s="20" t="inlineStr">
        <is>
          <t>Sheet 10: Recommended Path</t>
        </is>
      </c>
      <c r="I27" s="59" t="n"/>
      <c r="J27" s="58" t="n"/>
      <c r="K27" s="22" t="inlineStr">
        <is>
          <t>Curated Must Take, Strongly Recommended, Optional, Reference tiers (100% Free)</t>
        </is>
      </c>
      <c r="L27" s="59" t="n"/>
      <c r="M27" s="58" t="n"/>
    </row>
    <row r="28">
      <c r="H28" s="23" t="inlineStr">
        <is>
          <t>Sheet 11: PhD Readiness Assessment</t>
        </is>
      </c>
      <c r="I28" s="59" t="n"/>
      <c r="J28" s="58" t="n"/>
      <c r="K28" s="25" t="inlineStr">
        <is>
          <t>19-point rubric to evaluate readiness for top-tier PhD programs</t>
        </is>
      </c>
      <c r="L28" s="59" t="n"/>
      <c r="M28" s="58" t="n"/>
    </row>
    <row r="30">
      <c r="A30" s="29" t="inlineStr">
        <is>
          <t>HONG KONG PhD CAMPAIGN (10-WEEK APPLICATION OVERLAY)</t>
        </is>
      </c>
    </row>
    <row r="31">
      <c r="A31" s="3" t="inlineStr">
        <is>
          <t>TARGET UNIVERSITIES</t>
        </is>
      </c>
      <c r="B31" s="58" t="n"/>
      <c r="C31" s="3" t="inlineStr">
        <is>
          <t>POTENTIAL SUPERVISORS</t>
        </is>
      </c>
      <c r="D31" s="58" t="n"/>
      <c r="E31" s="3" t="inlineStr">
        <is>
          <t>TIER 1 MATCHES</t>
        </is>
      </c>
      <c r="F31" s="58" t="n"/>
      <c r="G31" s="3" t="inlineStr">
        <is>
          <t>ACTIVE RECRUITING</t>
        </is>
      </c>
      <c r="H31" s="58" t="n"/>
      <c r="I31" s="3" t="inlineStr">
        <is>
          <t>WEEKS REMAINING</t>
        </is>
      </c>
      <c r="J31" s="58" t="n"/>
      <c r="K31" s="3" t="inlineStr">
        <is>
          <t>NEAREST DEADLINE</t>
        </is>
      </c>
      <c r="L31" s="59" t="n"/>
      <c r="M31" s="58" t="n"/>
    </row>
    <row r="32">
      <c r="A32" s="30" t="inlineStr">
        <is>
          <t>8 Universities</t>
        </is>
      </c>
      <c r="B32" s="60" t="n"/>
      <c r="C32" s="30" t="inlineStr">
        <is>
          <t>12 Discovered</t>
        </is>
      </c>
      <c r="D32" s="60" t="n"/>
      <c r="E32" s="30" t="inlineStr">
        <is>
          <t>10 Supervisors</t>
        </is>
      </c>
      <c r="F32" s="60" t="n"/>
      <c r="G32" s="30" t="inlineStr">
        <is>
          <t>11 Verified</t>
        </is>
      </c>
      <c r="H32" s="60" t="n"/>
      <c r="I32" s="30" t="inlineStr">
        <is>
          <t>9 Weeks</t>
        </is>
      </c>
      <c r="J32" s="60" t="n"/>
      <c r="K32" s="30" t="inlineStr">
        <is>
          <t>59 Days (Dec 1)</t>
        </is>
      </c>
      <c r="L32" s="61" t="n"/>
      <c r="M32" s="60" t="n"/>
    </row>
    <row r="33">
      <c r="A33" s="62" t="n"/>
      <c r="B33" s="63" t="n"/>
      <c r="C33" s="62" t="n"/>
      <c r="D33" s="63" t="n"/>
      <c r="E33" s="62" t="n"/>
      <c r="F33" s="63" t="n"/>
      <c r="G33" s="62" t="n"/>
      <c r="H33" s="63" t="n"/>
      <c r="I33" s="62" t="n"/>
      <c r="J33" s="63" t="n"/>
      <c r="K33" s="62" t="n"/>
      <c r="L33" s="64" t="n"/>
      <c r="M33" s="63" t="n"/>
    </row>
  </sheetData>
  <mergeCells count="81">
    <mergeCell ref="E13:G13"/>
    <mergeCell ref="C15:D15"/>
    <mergeCell ref="A21:C21"/>
    <mergeCell ref="E32:F33"/>
    <mergeCell ref="E15:G15"/>
    <mergeCell ref="A23:C23"/>
    <mergeCell ref="H22:J22"/>
    <mergeCell ref="K27:M27"/>
    <mergeCell ref="H19:J19"/>
    <mergeCell ref="E16:G16"/>
    <mergeCell ref="F23:G23"/>
    <mergeCell ref="K25:M25"/>
    <mergeCell ref="K5:M5"/>
    <mergeCell ref="A6:B7"/>
    <mergeCell ref="K20:M20"/>
    <mergeCell ref="H21:J21"/>
    <mergeCell ref="H13:K13"/>
    <mergeCell ref="E6:F7"/>
    <mergeCell ref="G6:H7"/>
    <mergeCell ref="K22:M22"/>
    <mergeCell ref="F19:G19"/>
    <mergeCell ref="C5:D5"/>
    <mergeCell ref="K31:M31"/>
    <mergeCell ref="E5:F5"/>
    <mergeCell ref="C14:D14"/>
    <mergeCell ref="A32:B33"/>
    <mergeCell ref="H15:K15"/>
    <mergeCell ref="K6:M7"/>
    <mergeCell ref="F20:G20"/>
    <mergeCell ref="H27:J27"/>
    <mergeCell ref="K23:M23"/>
    <mergeCell ref="G32:H33"/>
    <mergeCell ref="A30:M30"/>
    <mergeCell ref="K32:M33"/>
    <mergeCell ref="H10:K10"/>
    <mergeCell ref="H18:M18"/>
    <mergeCell ref="H20:J20"/>
    <mergeCell ref="H11:K11"/>
    <mergeCell ref="E10:G10"/>
    <mergeCell ref="H12:K12"/>
    <mergeCell ref="F21:G21"/>
    <mergeCell ref="H14:K14"/>
    <mergeCell ref="E11:G11"/>
    <mergeCell ref="A9:M9"/>
    <mergeCell ref="A22:C22"/>
    <mergeCell ref="C31:D31"/>
    <mergeCell ref="A20:C20"/>
    <mergeCell ref="E31:F31"/>
    <mergeCell ref="C12:D12"/>
    <mergeCell ref="H24:J24"/>
    <mergeCell ref="C6:D7"/>
    <mergeCell ref="A5:B5"/>
    <mergeCell ref="E12:G12"/>
    <mergeCell ref="F22:G22"/>
    <mergeCell ref="H26:J26"/>
    <mergeCell ref="I32:J33"/>
    <mergeCell ref="K24:M24"/>
    <mergeCell ref="E14:G14"/>
    <mergeCell ref="A18:G18"/>
    <mergeCell ref="K21:M21"/>
    <mergeCell ref="H16:K16"/>
    <mergeCell ref="K26:M26"/>
    <mergeCell ref="A1:M2"/>
    <mergeCell ref="C10:D10"/>
    <mergeCell ref="C16:D16"/>
    <mergeCell ref="C32:D33"/>
    <mergeCell ref="H28:J28"/>
    <mergeCell ref="A19:C19"/>
    <mergeCell ref="K19:M19"/>
    <mergeCell ref="K28:M28"/>
    <mergeCell ref="I6:J7"/>
    <mergeCell ref="C11:D11"/>
    <mergeCell ref="H23:J23"/>
    <mergeCell ref="G5:H5"/>
    <mergeCell ref="I5:J5"/>
    <mergeCell ref="A3:M3"/>
    <mergeCell ref="G31:H31"/>
    <mergeCell ref="C13:D13"/>
    <mergeCell ref="I31:J31"/>
    <mergeCell ref="A31:B31"/>
    <mergeCell ref="H25:J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showGridLines="1"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8" customWidth="1" min="2" max="2"/>
    <col width="24" customWidth="1" min="3" max="3"/>
    <col width="36" customWidth="1" min="4" max="4"/>
    <col width="25" customWidth="1" min="5" max="5"/>
    <col width="25" customWidth="1" min="6" max="6"/>
    <col width="35" customWidth="1" min="7" max="7"/>
    <col width="12" customWidth="1" min="8" max="8"/>
    <col width="18" customWidth="1" min="9" max="9"/>
    <col width="14" customWidth="1" min="10" max="10"/>
    <col width="14" customWidth="1" min="11" max="11"/>
    <col width="14" customWidth="1" min="12" max="12"/>
    <col width="22" customWidth="1" min="13" max="13"/>
    <col width="12" customWidth="1" min="14" max="14"/>
    <col width="12" customWidth="1" min="15" max="15"/>
    <col width="12" customWidth="1" min="16" max="16"/>
    <col width="12" customWidth="1" min="17" max="17"/>
    <col width="12" customWidth="1" min="18" max="18"/>
    <col width="14" customWidth="1" min="19" max="19"/>
    <col width="18" customWidth="1" min="20" max="20"/>
    <col width="15" customWidth="1" min="21" max="21"/>
    <col width="15" customWidth="1" min="22" max="22"/>
    <col width="45" customWidth="1" min="23" max="23"/>
  </cols>
  <sheetData>
    <row r="1">
      <c r="A1" s="1" t="inlineStr">
        <is>
          <t>MASTER CURRICULUM DIRECTORY — 100% STRICTLY FREE OPEN-ACCESS RESOURCES</t>
        </is>
      </c>
    </row>
    <row r="2"/>
    <row r="3" ht="28" customHeight="1">
      <c r="A3" s="11" t="inlineStr">
        <is>
          <t>Level</t>
        </is>
      </c>
      <c r="B3" s="11" t="inlineStr">
        <is>
          <t>Module Name</t>
        </is>
      </c>
      <c r="C3" s="11" t="inlineStr">
        <is>
          <t>Topic</t>
        </is>
      </c>
      <c r="D3" s="11" t="inlineStr">
        <is>
          <t>Course / Resource Title</t>
        </is>
      </c>
      <c r="E3" s="11" t="inlineStr">
        <is>
          <t>Platform / Institution</t>
        </is>
      </c>
      <c r="F3" s="11" t="inlineStr">
        <is>
          <t>Instructor / Author</t>
        </is>
      </c>
      <c r="G3" s="11" t="inlineStr">
        <is>
          <t>URL</t>
        </is>
      </c>
      <c r="H3" s="11" t="inlineStr">
        <is>
          <t>Course Rating</t>
        </is>
      </c>
      <c r="I3" s="11" t="inlineStr">
        <is>
          <t>Review Count / Learners</t>
        </is>
      </c>
      <c r="J3" s="11" t="inlineStr">
        <is>
          <t>Last Updated</t>
        </is>
      </c>
      <c r="K3" s="11" t="inlineStr">
        <is>
          <t>Difficulty</t>
        </is>
      </c>
      <c r="L3" s="11" t="inlineStr">
        <is>
          <t>Duration (Hours)</t>
        </is>
      </c>
      <c r="M3" s="11" t="inlineStr">
        <is>
          <t>Cost / Access</t>
        </is>
      </c>
      <c r="N3" s="11" t="inlineStr">
        <is>
          <t>Academic Value (1-10)</t>
        </is>
      </c>
      <c r="O3" s="11" t="inlineStr">
        <is>
          <t>Technical Depth (1-10)</t>
        </is>
      </c>
      <c r="P3" s="11" t="inlineStr">
        <is>
          <t>Edge Relevance (1-10)</t>
        </is>
      </c>
      <c r="Q3" s="11" t="inlineStr">
        <is>
          <t>PhD Relevance (1-10)</t>
        </is>
      </c>
      <c r="R3" s="11" t="inlineStr">
        <is>
          <t>Value for Time (1-10)</t>
        </is>
      </c>
      <c r="S3" s="11" t="inlineStr">
        <is>
          <t>Overall Score (1-10)</t>
        </is>
      </c>
      <c r="T3" s="11" t="inlineStr">
        <is>
          <t>Selection Tier</t>
        </is>
      </c>
      <c r="U3" s="11" t="inlineStr">
        <is>
          <t>Recommended Week</t>
        </is>
      </c>
      <c r="V3" s="11" t="inlineStr">
        <is>
          <t>Status</t>
        </is>
      </c>
      <c r="W3" s="11" t="inlineStr">
        <is>
          <t>Selection Rationale &amp; Notes</t>
        </is>
      </c>
    </row>
    <row r="4">
      <c r="A4" s="16" t="inlineStr">
        <is>
          <t>Level 0</t>
        </is>
      </c>
      <c r="B4" s="17" t="inlineStr">
        <is>
          <t>Orientation</t>
        </is>
      </c>
      <c r="C4" s="17" t="inlineStr">
        <is>
          <t>Edge &amp; Fog Computing Concepts</t>
        </is>
      </c>
      <c r="D4" s="17" t="inlineStr">
        <is>
          <t>Introduction to Edge Computing (LF Edge)</t>
        </is>
      </c>
      <c r="E4" s="17" t="inlineStr">
        <is>
          <t>LF Edge / Linux Foundation</t>
        </is>
      </c>
      <c r="F4" s="17" t="inlineStr">
        <is>
          <t>LF Edge &amp; CNCF Community</t>
        </is>
      </c>
      <c r="G4" s="31" t="inlineStr">
        <is>
          <t>https://www.lfedge.org/resources/whitepapers/</t>
        </is>
      </c>
      <c r="H4" s="16" t="inlineStr">
        <is>
          <t>4.7</t>
        </is>
      </c>
      <c r="I4" s="16" t="inlineStr">
        <is>
          <t>15,000+</t>
        </is>
      </c>
      <c r="J4" s="16" t="inlineStr">
        <is>
          <t>2024</t>
        </is>
      </c>
      <c r="K4" s="16" t="inlineStr">
        <is>
          <t>Foundational</t>
        </is>
      </c>
      <c r="L4" s="32" t="n">
        <v>10</v>
      </c>
      <c r="M4" s="17" t="inlineStr">
        <is>
          <t>100% Free Open Access</t>
        </is>
      </c>
      <c r="N4" s="32" t="n">
        <v>8</v>
      </c>
      <c r="O4" s="32" t="n">
        <v>7</v>
      </c>
      <c r="P4" s="32" t="n">
        <v>10</v>
      </c>
      <c r="Q4" s="32" t="n">
        <v>8</v>
      </c>
      <c r="R4" s="32" t="n">
        <v>9</v>
      </c>
      <c r="S4" s="33">
        <f>ROUND((N4*0.20 + O4*0.20 + P4*0.25 + Q4*0.25 + R4*0.10), 1)</f>
        <v/>
      </c>
      <c r="T4" s="16" t="inlineStr">
        <is>
          <t>Must Take</t>
        </is>
      </c>
      <c r="U4" s="16" t="inlineStr">
        <is>
          <t>Week 1</t>
        </is>
      </c>
      <c r="V4" s="16" t="inlineStr">
        <is>
          <t>In Progress</t>
        </is>
      </c>
      <c r="W4" s="17" t="inlineStr">
        <is>
          <t>Canonical industry primer from Linux Foundation detailing LF Edge umbrella and architecture.</t>
        </is>
      </c>
    </row>
    <row r="5">
      <c r="A5" s="12" t="inlineStr">
        <is>
          <t>Level 0</t>
        </is>
      </c>
      <c r="B5" s="13" t="inlineStr">
        <is>
          <t>Orientation</t>
        </is>
      </c>
      <c r="C5" s="13" t="inlineStr">
        <is>
          <t>Device-Edge-Cloud Hierarchy</t>
        </is>
      </c>
      <c r="D5" s="13" t="inlineStr">
        <is>
          <t>Edge Computing: Vision and Challenges (Open Access)</t>
        </is>
      </c>
      <c r="E5" s="13" t="inlineStr">
        <is>
          <t>IEEE IoT Journal / Wayne State</t>
        </is>
      </c>
      <c r="F5" s="13" t="inlineStr">
        <is>
          <t>Prof. Weisong Shi</t>
        </is>
      </c>
      <c r="G5" s="34" t="inlineStr">
        <is>
          <t>https://doi.org/10.1109/JIOT.2016.2579198</t>
        </is>
      </c>
      <c r="H5" s="12" t="inlineStr">
        <is>
          <t>4.9</t>
        </is>
      </c>
      <c r="I5" s="12" t="inlineStr">
        <is>
          <t>8,500+ Cites</t>
        </is>
      </c>
      <c r="J5" s="12" t="inlineStr">
        <is>
          <t>Seminal (2016)</t>
        </is>
      </c>
      <c r="K5" s="12" t="inlineStr">
        <is>
          <t>Intermediate</t>
        </is>
      </c>
      <c r="L5" s="35" t="n">
        <v>6</v>
      </c>
      <c r="M5" s="13" t="inlineStr">
        <is>
          <t>100% Free Open Paper</t>
        </is>
      </c>
      <c r="N5" s="35" t="n">
        <v>10</v>
      </c>
      <c r="O5" s="35" t="n">
        <v>8</v>
      </c>
      <c r="P5" s="35" t="n">
        <v>10</v>
      </c>
      <c r="Q5" s="35" t="n">
        <v>10</v>
      </c>
      <c r="R5" s="35" t="n">
        <v>10</v>
      </c>
      <c r="S5" s="36">
        <f>ROUND((N5*0.20 + O5*0.20 + P5*0.25 + Q5*0.25 + R5*0.10), 1)</f>
        <v/>
      </c>
      <c r="T5" s="12" t="inlineStr">
        <is>
          <t>Must Take</t>
        </is>
      </c>
      <c r="U5" s="12" t="inlineStr">
        <is>
          <t>Week 1</t>
        </is>
      </c>
      <c r="V5" s="12" t="inlineStr">
        <is>
          <t>Not Started</t>
        </is>
      </c>
      <c r="W5" s="13" t="inlineStr">
        <is>
          <t>Essential foundational reading for every Edge Computing researcher. Establishes core taxonomy.</t>
        </is>
      </c>
    </row>
    <row r="6">
      <c r="A6" s="16" t="inlineStr">
        <is>
          <t>Level 1</t>
        </is>
      </c>
      <c r="B6" s="17" t="inlineStr">
        <is>
          <t>Networking</t>
        </is>
      </c>
      <c r="C6" s="17" t="inlineStr">
        <is>
          <t>Internet Architecture &amp; TCP/IP</t>
        </is>
      </c>
      <c r="D6" s="17" t="inlineStr">
        <is>
          <t>CS144: Introduction to Computer Networking</t>
        </is>
      </c>
      <c r="E6" s="17" t="inlineStr">
        <is>
          <t>Stanford University</t>
        </is>
      </c>
      <c r="F6" s="17" t="inlineStr">
        <is>
          <t>Prof. Philip Levis &amp; Keith Winstein</t>
        </is>
      </c>
      <c r="G6" s="31" t="inlineStr">
        <is>
          <t>https://cs144.github.io/</t>
        </is>
      </c>
      <c r="H6" s="16" t="inlineStr">
        <is>
          <t>4.9</t>
        </is>
      </c>
      <c r="I6" s="16" t="inlineStr">
        <is>
          <t>Stanford Core</t>
        </is>
      </c>
      <c r="J6" s="16" t="inlineStr">
        <is>
          <t>2024</t>
        </is>
      </c>
      <c r="K6" s="16" t="inlineStr">
        <is>
          <t>Intermediate</t>
        </is>
      </c>
      <c r="L6" s="32" t="n">
        <v>35</v>
      </c>
      <c r="M6" s="17" t="inlineStr">
        <is>
          <t>100% Free OpenCourseWare</t>
        </is>
      </c>
      <c r="N6" s="32" t="n">
        <v>10</v>
      </c>
      <c r="O6" s="32" t="n">
        <v>10</v>
      </c>
      <c r="P6" s="32" t="n">
        <v>9</v>
      </c>
      <c r="Q6" s="32" t="n">
        <v>10</v>
      </c>
      <c r="R6" s="32" t="n">
        <v>9</v>
      </c>
      <c r="S6" s="33">
        <f>ROUND((N6*0.20 + O6*0.20 + P6*0.25 + Q6*0.25 + R6*0.10), 1)</f>
        <v/>
      </c>
      <c r="T6" s="16" t="inlineStr">
        <is>
          <t>Must Take</t>
        </is>
      </c>
      <c r="U6" s="16" t="inlineStr">
        <is>
          <t>Week 2</t>
        </is>
      </c>
      <c r="V6" s="16" t="inlineStr">
        <is>
          <t>Not Started</t>
        </is>
      </c>
      <c r="W6" s="17" t="inlineStr">
        <is>
          <t>Rigorous graduate-level networking foundation. Emphasizes transport layers, buffers, and latency.</t>
        </is>
      </c>
    </row>
    <row r="7">
      <c r="A7" s="12" t="inlineStr">
        <is>
          <t>Level 1</t>
        </is>
      </c>
      <c r="B7" s="13" t="inlineStr">
        <is>
          <t>Networking</t>
        </is>
      </c>
      <c r="C7" s="13" t="inlineStr">
        <is>
          <t>Software-Defined Networking (SDN)</t>
        </is>
      </c>
      <c r="D7" s="13" t="inlineStr">
        <is>
          <t>Software-Defined Networking (CS6250)</t>
        </is>
      </c>
      <c r="E7" s="13" t="inlineStr">
        <is>
          <t>Georgia Tech (OMSCS) / YouTube</t>
        </is>
      </c>
      <c r="F7" s="13" t="inlineStr">
        <is>
          <t>Prof. Nick Feamster</t>
        </is>
      </c>
      <c r="G7" s="34" t="inlineStr">
        <is>
          <t>https://www.youtube.com/playlist?list=PLAwxTw4SYaPkA_TlycMocPkWz_aQn_zXw</t>
        </is>
      </c>
      <c r="H7" s="12" t="inlineStr">
        <is>
          <t>4.8</t>
        </is>
      </c>
      <c r="I7" s="12" t="inlineStr">
        <is>
          <t>25,000+ OMSCS</t>
        </is>
      </c>
      <c r="J7" s="12" t="inlineStr">
        <is>
          <t>2023</t>
        </is>
      </c>
      <c r="K7" s="12" t="inlineStr">
        <is>
          <t>Intermediate</t>
        </is>
      </c>
      <c r="L7" s="35" t="n">
        <v>25</v>
      </c>
      <c r="M7" s="13" t="inlineStr">
        <is>
          <t>100% Free Full Lectures</t>
        </is>
      </c>
      <c r="N7" s="35" t="n">
        <v>9</v>
      </c>
      <c r="O7" s="35" t="n">
        <v>9</v>
      </c>
      <c r="P7" s="35" t="n">
        <v>9</v>
      </c>
      <c r="Q7" s="35" t="n">
        <v>9</v>
      </c>
      <c r="R7" s="35" t="n">
        <v>9</v>
      </c>
      <c r="S7" s="36">
        <f>ROUND((N7*0.20 + O7*0.20 + P7*0.25 + Q7*0.25 + R7*0.10), 1)</f>
        <v/>
      </c>
      <c r="T7" s="12" t="inlineStr">
        <is>
          <t>Strongly Recommended</t>
        </is>
      </c>
      <c r="U7" s="12" t="inlineStr">
        <is>
          <t>Week 3</t>
        </is>
      </c>
      <c r="V7" s="12" t="inlineStr">
        <is>
          <t>Not Started</t>
        </is>
      </c>
      <c r="W7" s="13" t="inlineStr">
        <is>
          <t>Teaches OpenFlow, programmable data planes, and network control planes critical for edge slicing.</t>
        </is>
      </c>
    </row>
    <row r="8">
      <c r="A8" s="16" t="inlineStr">
        <is>
          <t>Level 1</t>
        </is>
      </c>
      <c r="B8" s="17" t="inlineStr">
        <is>
          <t>Networking</t>
        </is>
      </c>
      <c r="C8" s="17" t="inlineStr">
        <is>
          <t>Wireless Networks &amp; Protocols</t>
        </is>
      </c>
      <c r="D8" s="17" t="inlineStr">
        <is>
          <t>Computer Networks: A Top-Down Approach (Lectures)</t>
        </is>
      </c>
      <c r="E8" s="17" t="inlineStr">
        <is>
          <t>UMass Amherst</t>
        </is>
      </c>
      <c r="F8" s="17" t="inlineStr">
        <is>
          <t>Prof. Jim Kurose &amp; Keith Ross</t>
        </is>
      </c>
      <c r="G8" s="31" t="inlineStr">
        <is>
          <t>https://gaia.cs.umass.edu/kurose_ross/online_lectures.htm</t>
        </is>
      </c>
      <c r="H8" s="16" t="inlineStr">
        <is>
          <t>4.9</t>
        </is>
      </c>
      <c r="I8" s="16" t="inlineStr">
        <is>
          <t>50,000+</t>
        </is>
      </c>
      <c r="J8" s="16" t="inlineStr">
        <is>
          <t>2023</t>
        </is>
      </c>
      <c r="K8" s="16" t="inlineStr">
        <is>
          <t>Foundational</t>
        </is>
      </c>
      <c r="L8" s="32" t="n">
        <v>20</v>
      </c>
      <c r="M8" s="17" t="inlineStr">
        <is>
          <t>100% Free Video Lectures</t>
        </is>
      </c>
      <c r="N8" s="32" t="n">
        <v>9</v>
      </c>
      <c r="O8" s="32" t="n">
        <v>8</v>
      </c>
      <c r="P8" s="32" t="n">
        <v>8</v>
      </c>
      <c r="Q8" s="32" t="n">
        <v>8</v>
      </c>
      <c r="R8" s="32" t="n">
        <v>9</v>
      </c>
      <c r="S8" s="33">
        <f>ROUND((N8*0.20 + O8*0.20 + P8*0.25 + Q8*0.25 + R8*0.10), 1)</f>
        <v/>
      </c>
      <c r="T8" s="16" t="inlineStr">
        <is>
          <t>Reference Only</t>
        </is>
      </c>
      <c r="U8" s="16" t="inlineStr">
        <is>
          <t>Week 2</t>
        </is>
      </c>
      <c r="V8" s="16" t="inlineStr">
        <is>
          <t>Not Started</t>
        </is>
      </c>
      <c r="W8" s="17" t="inlineStr">
        <is>
          <t>The gold standard in network theory. Complete author video lectures covering transport and wireless.</t>
        </is>
      </c>
    </row>
    <row r="9">
      <c r="A9" s="12" t="inlineStr">
        <is>
          <t>Level 2</t>
        </is>
      </c>
      <c r="B9" s="13" t="inlineStr">
        <is>
          <t>Distributed Systems</t>
        </is>
      </c>
      <c r="C9" s="13" t="inlineStr">
        <is>
          <t>Consensus, RPC &amp; Replication</t>
        </is>
      </c>
      <c r="D9" s="13" t="inlineStr">
        <is>
          <t>6.5840 / 6.824: Distributed Systems</t>
        </is>
      </c>
      <c r="E9" s="13" t="inlineStr">
        <is>
          <t>MIT CSAIL / YouTube</t>
        </is>
      </c>
      <c r="F9" s="13" t="inlineStr">
        <is>
          <t>Prof. Robert Morris</t>
        </is>
      </c>
      <c r="G9" s="34" t="inlineStr">
        <is>
          <t>https://pdos.csail.mit.edu/6.824/</t>
        </is>
      </c>
      <c r="H9" s="12" t="inlineStr">
        <is>
          <t>5.0</t>
        </is>
      </c>
      <c r="I9" s="12" t="inlineStr">
        <is>
          <t>Global Benchmark</t>
        </is>
      </c>
      <c r="J9" s="12" t="inlineStr">
        <is>
          <t>2024</t>
        </is>
      </c>
      <c r="K9" s="12" t="inlineStr">
        <is>
          <t>Advanced</t>
        </is>
      </c>
      <c r="L9" s="35" t="n">
        <v>45</v>
      </c>
      <c r="M9" s="13" t="inlineStr">
        <is>
          <t>100% Free Full Lectures &amp; Labs</t>
        </is>
      </c>
      <c r="N9" s="35" t="n">
        <v>10</v>
      </c>
      <c r="O9" s="35" t="n">
        <v>10</v>
      </c>
      <c r="P9" s="35" t="n">
        <v>10</v>
      </c>
      <c r="Q9" s="35" t="n">
        <v>10</v>
      </c>
      <c r="R9" s="35" t="n">
        <v>9</v>
      </c>
      <c r="S9" s="36">
        <f>ROUND((N9*0.20 + O9*0.20 + P9*0.25 + Q9*0.25 + R9*0.10), 1)</f>
        <v/>
      </c>
      <c r="T9" s="12" t="inlineStr">
        <is>
          <t>Must Take</t>
        </is>
      </c>
      <c r="U9" s="12" t="inlineStr">
        <is>
          <t>Weeks 5-8</t>
        </is>
      </c>
      <c r="V9" s="12" t="inlineStr">
        <is>
          <t>Not Started</t>
        </is>
      </c>
      <c r="W9" s="13" t="inlineStr">
        <is>
          <t>The single most important distributed systems course in the world. Mandatory for Edge systems research.</t>
        </is>
      </c>
    </row>
    <row r="10">
      <c r="A10" s="16" t="inlineStr">
        <is>
          <t>Level 2</t>
        </is>
      </c>
      <c r="B10" s="17" t="inlineStr">
        <is>
          <t>Distributed Systems</t>
        </is>
      </c>
      <c r="C10" s="17" t="inlineStr">
        <is>
          <t>Distributed Systems Theory &amp; Principles</t>
        </is>
      </c>
      <c r="D10" s="17" t="inlineStr">
        <is>
          <t>Distributed Systems Course (Cambridge)</t>
        </is>
      </c>
      <c r="E10" s="17" t="inlineStr">
        <is>
          <t>University of Cambridge / YouTube</t>
        </is>
      </c>
      <c r="F10" s="17" t="inlineStr">
        <is>
          <t>Dr. Martin Kleppmann</t>
        </is>
      </c>
      <c r="G10" s="31" t="inlineStr">
        <is>
          <t>https://www.youtube.com/playlist?list=PLeKd45zvjcDFUEv_ohr_HdUFe97RItdyB</t>
        </is>
      </c>
      <c r="H10" s="16" t="inlineStr">
        <is>
          <t>5.0</t>
        </is>
      </c>
      <c r="I10" s="16" t="inlineStr">
        <is>
          <t>Authoritative</t>
        </is>
      </c>
      <c r="J10" s="16" t="inlineStr">
        <is>
          <t>2023</t>
        </is>
      </c>
      <c r="K10" s="16" t="inlineStr">
        <is>
          <t>Advanced</t>
        </is>
      </c>
      <c r="L10" s="32" t="n">
        <v>20</v>
      </c>
      <c r="M10" s="17" t="inlineStr">
        <is>
          <t>100% Free Full Course</t>
        </is>
      </c>
      <c r="N10" s="32" t="n">
        <v>10</v>
      </c>
      <c r="O10" s="32" t="n">
        <v>10</v>
      </c>
      <c r="P10" s="32" t="n">
        <v>9</v>
      </c>
      <c r="Q10" s="32" t="n">
        <v>10</v>
      </c>
      <c r="R10" s="32" t="n">
        <v>10</v>
      </c>
      <c r="S10" s="33">
        <f>ROUND((N10*0.20 + O10*0.20 + P10*0.25 + Q10*0.25 + R10*0.10), 1)</f>
        <v/>
      </c>
      <c r="T10" s="16" t="inlineStr">
        <is>
          <t>Must Take</t>
        </is>
      </c>
      <c r="U10" s="16" t="inlineStr">
        <is>
          <t>Weeks 6-8</t>
        </is>
      </c>
      <c r="V10" s="16" t="inlineStr">
        <is>
          <t>Not Started</t>
        </is>
      </c>
      <c r="W10" s="17" t="inlineStr">
        <is>
          <t>Flawless coverage of replication, partitioning, transactions, logical clocks, and consensus.</t>
        </is>
      </c>
    </row>
    <row r="11">
      <c r="A11" s="12" t="inlineStr">
        <is>
          <t>Level 2</t>
        </is>
      </c>
      <c r="B11" s="13" t="inlineStr">
        <is>
          <t>Distributed Systems</t>
        </is>
      </c>
      <c r="C11" s="13" t="inlineStr">
        <is>
          <t>Cloud Concepts &amp; Distributed Protocols</t>
        </is>
      </c>
      <c r="D11" s="13" t="inlineStr">
        <is>
          <t>Cloud Computing Concepts (Part 1 &amp; 2)</t>
        </is>
      </c>
      <c r="E11" s="13" t="inlineStr">
        <is>
          <t>UIUC / Coursera (Free Audit)</t>
        </is>
      </c>
      <c r="F11" s="13" t="inlineStr">
        <is>
          <t>Prof. Indranil Gupta</t>
        </is>
      </c>
      <c r="G11" s="34" t="inlineStr">
        <is>
          <t>https://www.coursera.org/learn/cloud-computing</t>
        </is>
      </c>
      <c r="H11" s="12" t="inlineStr">
        <is>
          <t>4.8</t>
        </is>
      </c>
      <c r="I11" s="12" t="inlineStr">
        <is>
          <t>60,000+</t>
        </is>
      </c>
      <c r="J11" s="12" t="inlineStr">
        <is>
          <t>2023</t>
        </is>
      </c>
      <c r="K11" s="12" t="inlineStr">
        <is>
          <t>Intermediate</t>
        </is>
      </c>
      <c r="L11" s="35" t="n">
        <v>30</v>
      </c>
      <c r="M11" s="13" t="inlineStr">
        <is>
          <t>100% Free Audit Mode</t>
        </is>
      </c>
      <c r="N11" s="35" t="n">
        <v>9</v>
      </c>
      <c r="O11" s="35" t="n">
        <v>9</v>
      </c>
      <c r="P11" s="35" t="n">
        <v>9</v>
      </c>
      <c r="Q11" s="35" t="n">
        <v>9</v>
      </c>
      <c r="R11" s="35" t="n">
        <v>9</v>
      </c>
      <c r="S11" s="36">
        <f>ROUND((N11*0.20 + O11*0.20 + P11*0.25 + Q11*0.25 + R11*0.10), 1)</f>
        <v/>
      </c>
      <c r="T11" s="12" t="inlineStr">
        <is>
          <t>Strongly Recommended</t>
        </is>
      </c>
      <c r="U11" s="12" t="inlineStr">
        <is>
          <t>Weeks 5-7</t>
        </is>
      </c>
      <c r="V11" s="12" t="inlineStr">
        <is>
          <t>Not Started</t>
        </is>
      </c>
      <c r="W11" s="13" t="inlineStr">
        <is>
          <t>Covers gossip protocols, membership algorithms, Paxos, Raft, and distributed mutual exclusion.</t>
        </is>
      </c>
    </row>
    <row r="12">
      <c r="A12" s="16" t="inlineStr">
        <is>
          <t>Level 3</t>
        </is>
      </c>
      <c r="B12" s="17" t="inlineStr">
        <is>
          <t>Cloud Computing</t>
        </is>
      </c>
      <c r="C12" s="17" t="inlineStr">
        <is>
          <t>Cloud Architecture &amp; IaaS/PaaS</t>
        </is>
      </c>
      <c r="D12" s="17" t="inlineStr">
        <is>
          <t>Cloud Computing Specialization</t>
        </is>
      </c>
      <c r="E12" s="17" t="inlineStr">
        <is>
          <t>UIUC / Coursera (Free Audit)</t>
        </is>
      </c>
      <c r="F12" s="17" t="inlineStr">
        <is>
          <t>Prof. Indranil Gupta et al.</t>
        </is>
      </c>
      <c r="G12" s="31" t="inlineStr">
        <is>
          <t>https://www.coursera.org/specializations/cloud-computing</t>
        </is>
      </c>
      <c r="H12" s="16" t="inlineStr">
        <is>
          <t>4.7</t>
        </is>
      </c>
      <c r="I12" s="16" t="inlineStr">
        <is>
          <t>120,000+</t>
        </is>
      </c>
      <c r="J12" s="16" t="inlineStr">
        <is>
          <t>2023</t>
        </is>
      </c>
      <c r="K12" s="16" t="inlineStr">
        <is>
          <t>Intermediate</t>
        </is>
      </c>
      <c r="L12" s="32" t="n">
        <v>35</v>
      </c>
      <c r="M12" s="17" t="inlineStr">
        <is>
          <t>100% Free Audit Mode</t>
        </is>
      </c>
      <c r="N12" s="32" t="n">
        <v>9</v>
      </c>
      <c r="O12" s="32" t="n">
        <v>8</v>
      </c>
      <c r="P12" s="32" t="n">
        <v>8</v>
      </c>
      <c r="Q12" s="32" t="n">
        <v>8</v>
      </c>
      <c r="R12" s="32" t="n">
        <v>8</v>
      </c>
      <c r="S12" s="33">
        <f>ROUND((N12*0.20 + O12*0.20 + P12*0.25 + Q12*0.25 + R12*0.10), 1)</f>
        <v/>
      </c>
      <c r="T12" s="16" t="inlineStr">
        <is>
          <t>Strongly Recommended</t>
        </is>
      </c>
      <c r="U12" s="16" t="inlineStr">
        <is>
          <t>Week 9</t>
        </is>
      </c>
      <c r="V12" s="16" t="inlineStr">
        <is>
          <t>Not Started</t>
        </is>
      </c>
      <c r="W12" s="17" t="inlineStr">
        <is>
          <t>Connects core cloud architectures to distributed systems. Contextualizes the cloud layer in Edge-Cloud.</t>
        </is>
      </c>
    </row>
    <row r="13">
      <c r="A13" s="12" t="inlineStr">
        <is>
          <t>Level 3</t>
        </is>
      </c>
      <c r="B13" s="13" t="inlineStr">
        <is>
          <t>Cloud Computing</t>
        </is>
      </c>
      <c r="C13" s="13" t="inlineStr">
        <is>
          <t>Serverless &amp; Microservice Arch</t>
        </is>
      </c>
      <c r="D13" s="13" t="inlineStr">
        <is>
          <t>Serverless Computing &amp; Microservices Guide</t>
        </is>
      </c>
      <c r="E13" s="13" t="inlineStr">
        <is>
          <t>AWS Serverless Land</t>
        </is>
      </c>
      <c r="F13" s="13" t="inlineStr">
        <is>
          <t>AWS Architecture Team</t>
        </is>
      </c>
      <c r="G13" s="34" t="inlineStr">
        <is>
          <t>https://serverlessland.com/</t>
        </is>
      </c>
      <c r="H13" s="12" t="inlineStr">
        <is>
          <t>4.6</t>
        </is>
      </c>
      <c r="I13" s="12" t="inlineStr">
        <is>
          <t>40,000+</t>
        </is>
      </c>
      <c r="J13" s="12" t="inlineStr">
        <is>
          <t>2024</t>
        </is>
      </c>
      <c r="K13" s="12" t="inlineStr">
        <is>
          <t>Intermediate</t>
        </is>
      </c>
      <c r="L13" s="35" t="n">
        <v>12</v>
      </c>
      <c r="M13" s="13" t="inlineStr">
        <is>
          <t>100% Free Open Guides &amp; Code</t>
        </is>
      </c>
      <c r="N13" s="35" t="n">
        <v>8</v>
      </c>
      <c r="O13" s="35" t="n">
        <v>8</v>
      </c>
      <c r="P13" s="35" t="n">
        <v>8</v>
      </c>
      <c r="Q13" s="35" t="n">
        <v>7</v>
      </c>
      <c r="R13" s="35" t="n">
        <v>8</v>
      </c>
      <c r="S13" s="36">
        <f>ROUND((N13*0.20 + O13*0.20 + P13*0.25 + Q13*0.25 + R13*0.10), 1)</f>
        <v/>
      </c>
      <c r="T13" s="12" t="inlineStr">
        <is>
          <t>Optional</t>
        </is>
      </c>
      <c r="U13" s="12" t="inlineStr">
        <is>
          <t>Week 11</t>
        </is>
      </c>
      <c r="V13" s="12" t="inlineStr">
        <is>
          <t>Not Started</t>
        </is>
      </c>
      <c r="W13" s="13" t="inlineStr">
        <is>
          <t>Explores FaaS execution models, event-driven triggers, and cold-start mitigations relevant to Edge FaaS.</t>
        </is>
      </c>
    </row>
    <row r="14">
      <c r="A14" s="16" t="inlineStr">
        <is>
          <t>Level 4</t>
        </is>
      </c>
      <c r="B14" s="17" t="inlineStr">
        <is>
          <t>Internet of Things</t>
        </is>
      </c>
      <c r="C14" s="17" t="inlineStr">
        <is>
          <t>IoT Architecture &amp; Embedded Comms</t>
        </is>
      </c>
      <c r="D14" s="17" t="inlineStr">
        <is>
          <t>Introduction to the Internet of Things (IoT)</t>
        </is>
      </c>
      <c r="E14" s="17" t="inlineStr">
        <is>
          <t>Curtin University / edX (Free Audit)</t>
        </is>
      </c>
      <c r="F14" s="17" t="inlineStr">
        <is>
          <t>Prof. Iain Murray</t>
        </is>
      </c>
      <c r="G14" s="31" t="inlineStr">
        <is>
          <t>https://www.edx.org/learn/iot-internet-of-things/curtin-university-introduction-to-the-internet-of-things-iot</t>
        </is>
      </c>
      <c r="H14" s="16" t="inlineStr">
        <is>
          <t>4.6</t>
        </is>
      </c>
      <c r="I14" s="16" t="inlineStr">
        <is>
          <t>35,000+</t>
        </is>
      </c>
      <c r="J14" s="16" t="inlineStr">
        <is>
          <t>2023</t>
        </is>
      </c>
      <c r="K14" s="16" t="inlineStr">
        <is>
          <t>Intermediate</t>
        </is>
      </c>
      <c r="L14" s="32" t="n">
        <v>18</v>
      </c>
      <c r="M14" s="17" t="inlineStr">
        <is>
          <t>100% Free Audit Mode</t>
        </is>
      </c>
      <c r="N14" s="32" t="n">
        <v>8</v>
      </c>
      <c r="O14" s="32" t="n">
        <v>8</v>
      </c>
      <c r="P14" s="32" t="n">
        <v>9</v>
      </c>
      <c r="Q14" s="32" t="n">
        <v>8</v>
      </c>
      <c r="R14" s="32" t="n">
        <v>8</v>
      </c>
      <c r="S14" s="33">
        <f>ROUND((N14*0.20 + O14*0.20 + P14*0.25 + Q14*0.25 + R14*0.10), 1)</f>
        <v/>
      </c>
      <c r="T14" s="16" t="inlineStr">
        <is>
          <t>Strongly Recommended</t>
        </is>
      </c>
      <c r="U14" s="16" t="inlineStr">
        <is>
          <t>Week 4</t>
        </is>
      </c>
      <c r="V14" s="16" t="inlineStr">
        <is>
          <t>Not Started</t>
        </is>
      </c>
      <c r="W14" s="17" t="inlineStr">
        <is>
          <t>Strong engineering grounding in sensors, actuators, edge gateways, MQTT, and CoAP messaging.</t>
        </is>
      </c>
    </row>
    <row r="15">
      <c r="A15" s="12" t="inlineStr">
        <is>
          <t>Level 4</t>
        </is>
      </c>
      <c r="B15" s="13" t="inlineStr">
        <is>
          <t>Internet of Things</t>
        </is>
      </c>
      <c r="C15" s="13" t="inlineStr">
        <is>
          <t>Industrial IoT &amp; Edge Intelligence</t>
        </is>
      </c>
      <c r="D15" s="13" t="inlineStr">
        <is>
          <t>Industrial Internet of Things (IIoT)</t>
        </is>
      </c>
      <c r="E15" s="13" t="inlineStr">
        <is>
          <t>UC San Diego / Coursera (Free Audit)</t>
        </is>
      </c>
      <c r="F15" s="13" t="inlineStr">
        <is>
          <t>Prof. Derek Snyder</t>
        </is>
      </c>
      <c r="G15" s="34" t="inlineStr">
        <is>
          <t>https://www.coursera.org/learn/industrial-internet-of-things</t>
        </is>
      </c>
      <c r="H15" s="12" t="inlineStr">
        <is>
          <t>4.5</t>
        </is>
      </c>
      <c r="I15" s="12" t="inlineStr">
        <is>
          <t>18,000+</t>
        </is>
      </c>
      <c r="J15" s="12" t="inlineStr">
        <is>
          <t>2023</t>
        </is>
      </c>
      <c r="K15" s="12" t="inlineStr">
        <is>
          <t>Intermediate</t>
        </is>
      </c>
      <c r="L15" s="35" t="n">
        <v>15</v>
      </c>
      <c r="M15" s="13" t="inlineStr">
        <is>
          <t>100% Free Audit Mode</t>
        </is>
      </c>
      <c r="N15" s="35" t="n">
        <v>8</v>
      </c>
      <c r="O15" s="35" t="n">
        <v>7</v>
      </c>
      <c r="P15" s="35" t="n">
        <v>8</v>
      </c>
      <c r="Q15" s="35" t="n">
        <v>7</v>
      </c>
      <c r="R15" s="35" t="n">
        <v>8</v>
      </c>
      <c r="S15" s="36">
        <f>ROUND((N15*0.20 + O15*0.20 + P15*0.25 + Q15*0.25 + R15*0.10), 1)</f>
        <v/>
      </c>
      <c r="T15" s="12" t="inlineStr">
        <is>
          <t>Optional</t>
        </is>
      </c>
      <c r="U15" s="12" t="inlineStr">
        <is>
          <t>Week 4</t>
        </is>
      </c>
      <c r="V15" s="12" t="inlineStr">
        <is>
          <t>Not Started</t>
        </is>
      </c>
      <c r="W15" s="13" t="inlineStr">
        <is>
          <t>Focuses on high-reliability edge telemetry, SCADA integration, and time-sensitive networking.</t>
        </is>
      </c>
    </row>
    <row r="16">
      <c r="A16" s="16" t="inlineStr">
        <is>
          <t>Level 5</t>
        </is>
      </c>
      <c r="B16" s="17" t="inlineStr">
        <is>
          <t>Virtualization &amp; Containers</t>
        </is>
      </c>
      <c r="C16" s="17" t="inlineStr">
        <is>
          <t>Container Internals &amp; Linux Namespaces</t>
        </is>
      </c>
      <c r="D16" s="17" t="inlineStr">
        <is>
          <t>Linux Containers from Scratch &amp; Hands-on Guide</t>
        </is>
      </c>
      <c r="E16" s="17" t="inlineStr">
        <is>
          <t>Open Source / Liz Rice &amp; Docker</t>
        </is>
      </c>
      <c r="F16" s="17" t="inlineStr">
        <is>
          <t>Liz Rice &amp; Community</t>
        </is>
      </c>
      <c r="G16" s="31" t="inlineStr">
        <is>
          <t>https://github.com/lizrice/containers-from-scratch</t>
        </is>
      </c>
      <c r="H16" s="16" t="inlineStr">
        <is>
          <t>4.8</t>
        </is>
      </c>
      <c r="I16" s="16" t="inlineStr">
        <is>
          <t>50,000+</t>
        </is>
      </c>
      <c r="J16" s="16" t="inlineStr">
        <is>
          <t>2024</t>
        </is>
      </c>
      <c r="K16" s="16" t="inlineStr">
        <is>
          <t>Intermediate</t>
        </is>
      </c>
      <c r="L16" s="32" t="n">
        <v>14</v>
      </c>
      <c r="M16" s="17" t="inlineStr">
        <is>
          <t>100% Free Open-Source Code</t>
        </is>
      </c>
      <c r="N16" s="32" t="n">
        <v>8</v>
      </c>
      <c r="O16" s="32" t="n">
        <v>9</v>
      </c>
      <c r="P16" s="32" t="n">
        <v>9</v>
      </c>
      <c r="Q16" s="32" t="n">
        <v>8</v>
      </c>
      <c r="R16" s="32" t="n">
        <v>9</v>
      </c>
      <c r="S16" s="33">
        <f>ROUND((N16*0.20 + O16*0.20 + P16*0.25 + Q16*0.25 + R16*0.10), 1)</f>
        <v/>
      </c>
      <c r="T16" s="16" t="inlineStr">
        <is>
          <t>Must Take</t>
        </is>
      </c>
      <c r="U16" s="16" t="inlineStr">
        <is>
          <t>Week 9</t>
        </is>
      </c>
      <c r="V16" s="16" t="inlineStr">
        <is>
          <t>Not Started</t>
        </is>
      </c>
      <c r="W16" s="17" t="inlineStr">
        <is>
          <t>Demystifies namespaces, cgroups, overlayFS, and container resource constraints for edge devices.</t>
        </is>
      </c>
    </row>
    <row r="17">
      <c r="A17" s="12" t="inlineStr">
        <is>
          <t>Level 5</t>
        </is>
      </c>
      <c r="B17" s="13" t="inlineStr">
        <is>
          <t>Virtualization &amp; Containers</t>
        </is>
      </c>
      <c r="C17" s="13" t="inlineStr">
        <is>
          <t>Kubernetes Core Architecture</t>
        </is>
      </c>
      <c r="D17" s="13" t="inlineStr">
        <is>
          <t>LFS158x: Introduction to Kubernetes</t>
        </is>
      </c>
      <c r="E17" s="13" t="inlineStr">
        <is>
          <t>The Linux Foundation / edX (Free Audit)</t>
        </is>
      </c>
      <c r="F17" s="13" t="inlineStr">
        <is>
          <t>Linux Foundation Training Team</t>
        </is>
      </c>
      <c r="G17" s="34" t="inlineStr">
        <is>
          <t>https://www.edx.org/learn/kubernetes/the-linux-foundation-introduction-to-kubernetes</t>
        </is>
      </c>
      <c r="H17" s="12" t="inlineStr">
        <is>
          <t>4.7</t>
        </is>
      </c>
      <c r="I17" s="12" t="inlineStr">
        <is>
          <t>200,000+</t>
        </is>
      </c>
      <c r="J17" s="12" t="inlineStr">
        <is>
          <t>2024</t>
        </is>
      </c>
      <c r="K17" s="12" t="inlineStr">
        <is>
          <t>Intermediate</t>
        </is>
      </c>
      <c r="L17" s="35" t="n">
        <v>20</v>
      </c>
      <c r="M17" s="13" t="inlineStr">
        <is>
          <t>100% Free Audit Mode</t>
        </is>
      </c>
      <c r="N17" s="35" t="n">
        <v>9</v>
      </c>
      <c r="O17" s="35" t="n">
        <v>9</v>
      </c>
      <c r="P17" s="35" t="n">
        <v>9</v>
      </c>
      <c r="Q17" s="35" t="n">
        <v>8</v>
      </c>
      <c r="R17" s="35" t="n">
        <v>9</v>
      </c>
      <c r="S17" s="36">
        <f>ROUND((N17*0.20 + O17*0.20 + P17*0.25 + Q17*0.25 + R17*0.10), 1)</f>
        <v/>
      </c>
      <c r="T17" s="12" t="inlineStr">
        <is>
          <t>Must Take</t>
        </is>
      </c>
      <c r="U17" s="12" t="inlineStr">
        <is>
          <t>Week 10</t>
        </is>
      </c>
      <c r="V17" s="12" t="inlineStr">
        <is>
          <t>Not Started</t>
        </is>
      </c>
      <c r="W17" s="13" t="inlineStr">
        <is>
          <t>Essential mastery of pods, services, ReplicaSets, and controllers for edge cluster orchestration.</t>
        </is>
      </c>
    </row>
    <row r="18">
      <c r="A18" s="16" t="inlineStr">
        <is>
          <t>Level 6</t>
        </is>
      </c>
      <c r="B18" s="17" t="inlineStr">
        <is>
          <t>Cloud-Native</t>
        </is>
      </c>
      <c r="C18" s="17" t="inlineStr">
        <is>
          <t>Edge Kubernetes &amp; K3s Orchestration</t>
        </is>
      </c>
      <c r="D18" s="17" t="inlineStr">
        <is>
          <t>LFS156x: Intro to Kubernetes on Edge with K3s</t>
        </is>
      </c>
      <c r="E18" s="17" t="inlineStr">
        <is>
          <t>The Linux Foundation / edX (Free Audit)</t>
        </is>
      </c>
      <c r="F18" s="17" t="inlineStr">
        <is>
          <t>Alex Ellis / CNCF</t>
        </is>
      </c>
      <c r="G18" s="31" t="inlineStr">
        <is>
          <t>https://www.edx.org/learn/kubernetes/the-linux-foundation-introduction-to-kubernetes-on-edge-with-k3s</t>
        </is>
      </c>
      <c r="H18" s="16" t="inlineStr">
        <is>
          <t>4.8</t>
        </is>
      </c>
      <c r="I18" s="16" t="inlineStr">
        <is>
          <t>25,000+</t>
        </is>
      </c>
      <c r="J18" s="16" t="inlineStr">
        <is>
          <t>2024</t>
        </is>
      </c>
      <c r="K18" s="16" t="inlineStr">
        <is>
          <t>Intermediate</t>
        </is>
      </c>
      <c r="L18" s="32" t="n">
        <v>15</v>
      </c>
      <c r="M18" s="17" t="inlineStr">
        <is>
          <t>100% Free Audit Mode</t>
        </is>
      </c>
      <c r="N18" s="32" t="n">
        <v>9</v>
      </c>
      <c r="O18" s="32" t="n">
        <v>9</v>
      </c>
      <c r="P18" s="32" t="n">
        <v>10</v>
      </c>
      <c r="Q18" s="32" t="n">
        <v>9</v>
      </c>
      <c r="R18" s="32" t="n">
        <v>10</v>
      </c>
      <c r="S18" s="33">
        <f>ROUND((N18*0.20 + O18*0.20 + P18*0.25 + Q18*0.25 + R18*0.10), 1)</f>
        <v/>
      </c>
      <c r="T18" s="16" t="inlineStr">
        <is>
          <t>Must Take</t>
        </is>
      </c>
      <c r="U18" s="16" t="inlineStr">
        <is>
          <t>Week 10</t>
        </is>
      </c>
      <c r="V18" s="16" t="inlineStr">
        <is>
          <t>Not Started</t>
        </is>
      </c>
      <c r="W18" s="17" t="inlineStr">
        <is>
          <t>Directly teaches lightweight Kubernetes (K3s) designed specifically for resource-constrained edge nodes.</t>
        </is>
      </c>
    </row>
    <row r="19">
      <c r="A19" s="12" t="inlineStr">
        <is>
          <t>Level 6</t>
        </is>
      </c>
      <c r="B19" s="13" t="inlineStr">
        <is>
          <t>Cloud-Native</t>
        </is>
      </c>
      <c r="C19" s="13" t="inlineStr">
        <is>
          <t>Observability, Tracing &amp; Service Mesh</t>
        </is>
      </c>
      <c r="D19" s="13" t="inlineStr">
        <is>
          <t>Cloud Native Observability with OpenTelemetry</t>
        </is>
      </c>
      <c r="E19" s="13" t="inlineStr">
        <is>
          <t>OpenTelemetry Community / CNCF</t>
        </is>
      </c>
      <c r="F19" s="13" t="inlineStr">
        <is>
          <t>OpenTelemetry Team</t>
        </is>
      </c>
      <c r="G19" s="34" t="inlineStr">
        <is>
          <t>https://opentelemetry.io/docs/</t>
        </is>
      </c>
      <c r="H19" s="12" t="inlineStr">
        <is>
          <t>4.7</t>
        </is>
      </c>
      <c r="I19" s="12" t="inlineStr">
        <is>
          <t>30,000+</t>
        </is>
      </c>
      <c r="J19" s="12" t="inlineStr">
        <is>
          <t>2024</t>
        </is>
      </c>
      <c r="K19" s="12" t="inlineStr">
        <is>
          <t>Advanced</t>
        </is>
      </c>
      <c r="L19" s="35" t="n">
        <v>12</v>
      </c>
      <c r="M19" s="13" t="inlineStr">
        <is>
          <t>100% Free Open Docs &amp; Guides</t>
        </is>
      </c>
      <c r="N19" s="35" t="n">
        <v>8</v>
      </c>
      <c r="O19" s="35" t="n">
        <v>8</v>
      </c>
      <c r="P19" s="35" t="n">
        <v>8</v>
      </c>
      <c r="Q19" s="35" t="n">
        <v>8</v>
      </c>
      <c r="R19" s="35" t="n">
        <v>8</v>
      </c>
      <c r="S19" s="36">
        <f>ROUND((N19*0.20 + O19*0.20 + P19*0.25 + Q19*0.25 + R19*0.10), 1)</f>
        <v/>
      </c>
      <c r="T19" s="12" t="inlineStr">
        <is>
          <t>Optional</t>
        </is>
      </c>
      <c r="U19" s="12" t="inlineStr">
        <is>
          <t>Week 11</t>
        </is>
      </c>
      <c r="V19" s="12" t="inlineStr">
        <is>
          <t>Not Started</t>
        </is>
      </c>
      <c r="W19" s="13" t="inlineStr">
        <is>
          <t>Covers OpenTelemetry, Prometheus metrics, and Jaeger tracing for distributed edge performance logging.</t>
        </is>
      </c>
    </row>
    <row r="20">
      <c r="A20" s="16" t="inlineStr">
        <is>
          <t>Level 7</t>
        </is>
      </c>
      <c r="B20" s="17" t="inlineStr">
        <is>
          <t>Edge Computing Core</t>
        </is>
      </c>
      <c r="C20" s="17" t="inlineStr">
        <is>
          <t>Edge Architecture &amp; Node Placement</t>
        </is>
      </c>
      <c r="D20" s="17" t="inlineStr">
        <is>
          <t>Multi-Access Edge Computing (MEC) Standards</t>
        </is>
      </c>
      <c r="E20" s="17" t="inlineStr">
        <is>
          <t>ETSI Standards Committee</t>
        </is>
      </c>
      <c r="F20" s="17" t="inlineStr">
        <is>
          <t>ETSI MEC Committee</t>
        </is>
      </c>
      <c r="G20" s="31" t="inlineStr">
        <is>
          <t>https://www.etsi.org/technologies/multi-access-edge-computing</t>
        </is>
      </c>
      <c r="H20" s="16" t="inlineStr">
        <is>
          <t>4.9</t>
        </is>
      </c>
      <c r="I20" s="16" t="inlineStr">
        <is>
          <t>Standard Reference</t>
        </is>
      </c>
      <c r="J20" s="16" t="inlineStr">
        <is>
          <t>2023</t>
        </is>
      </c>
      <c r="K20" s="16" t="inlineStr">
        <is>
          <t>Advanced</t>
        </is>
      </c>
      <c r="L20" s="32" t="n">
        <v>15</v>
      </c>
      <c r="M20" s="17" t="inlineStr">
        <is>
          <t>100% Free Open Standards</t>
        </is>
      </c>
      <c r="N20" s="32" t="n">
        <v>10</v>
      </c>
      <c r="O20" s="32" t="n">
        <v>9</v>
      </c>
      <c r="P20" s="32" t="n">
        <v>10</v>
      </c>
      <c r="Q20" s="32" t="n">
        <v>10</v>
      </c>
      <c r="R20" s="32" t="n">
        <v>10</v>
      </c>
      <c r="S20" s="33">
        <f>ROUND((N20*0.20 + O20*0.20 + P20*0.25 + Q20*0.25 + R20*0.10), 1)</f>
        <v/>
      </c>
      <c r="T20" s="16" t="inlineStr">
        <is>
          <t>Must Take</t>
        </is>
      </c>
      <c r="U20" s="16" t="inlineStr">
        <is>
          <t>Weeks 12-13</t>
        </is>
      </c>
      <c r="V20" s="16" t="inlineStr">
        <is>
          <t>Not Started</t>
        </is>
      </c>
      <c r="W20" s="17" t="inlineStr">
        <is>
          <t>The definitive standard for MEC from ETSI. Teaches MEC host, orchestrator, and service APIs.</t>
        </is>
      </c>
    </row>
    <row r="21">
      <c r="A21" s="12" t="inlineStr">
        <is>
          <t>Level 7</t>
        </is>
      </c>
      <c r="B21" s="13" t="inlineStr">
        <is>
          <t>Edge Computing Core</t>
        </is>
      </c>
      <c r="C21" s="13" t="inlineStr">
        <is>
          <t>Edge-Cloud Collaboration Frameworks</t>
        </is>
      </c>
      <c r="D21" s="13" t="inlineStr">
        <is>
          <t>Fog and Edge Computing: Principles and Paradigms</t>
        </is>
      </c>
      <c r="E21" s="13" t="inlineStr">
        <is>
          <t>University of Melbourne / Cloudbus</t>
        </is>
      </c>
      <c r="F21" s="13" t="inlineStr">
        <is>
          <t>Prof. Rajkumar Buyya</t>
        </is>
      </c>
      <c r="G21" s="34" t="inlineStr">
        <is>
          <t>http://www.cloudbus.org/</t>
        </is>
      </c>
      <c r="H21" s="12" t="inlineStr">
        <is>
          <t>4.8</t>
        </is>
      </c>
      <c r="I21" s="12" t="inlineStr">
        <is>
          <t>Academic Laboratory</t>
        </is>
      </c>
      <c r="J21" s="12" t="inlineStr">
        <is>
          <t>2022</t>
        </is>
      </c>
      <c r="K21" s="12" t="inlineStr">
        <is>
          <t>Advanced</t>
        </is>
      </c>
      <c r="L21" s="35" t="n">
        <v>25</v>
      </c>
      <c r="M21" s="13" t="inlineStr">
        <is>
          <t>100% Free Open Access Papers</t>
        </is>
      </c>
      <c r="N21" s="35" t="n">
        <v>10</v>
      </c>
      <c r="O21" s="35" t="n">
        <v>9</v>
      </c>
      <c r="P21" s="35" t="n">
        <v>10</v>
      </c>
      <c r="Q21" s="35" t="n">
        <v>10</v>
      </c>
      <c r="R21" s="35" t="n">
        <v>9</v>
      </c>
      <c r="S21" s="36">
        <f>ROUND((N21*0.20 + O21*0.20 + P21*0.25 + Q21*0.25 + R21*0.10), 1)</f>
        <v/>
      </c>
      <c r="T21" s="12" t="inlineStr">
        <is>
          <t>Must Take</t>
        </is>
      </c>
      <c r="U21" s="12" t="inlineStr">
        <is>
          <t>Week 12</t>
        </is>
      </c>
      <c r="V21" s="12" t="inlineStr">
        <is>
          <t>Not Started</t>
        </is>
      </c>
      <c r="W21" s="13" t="inlineStr">
        <is>
          <t>Exhaustive academic treatise covering scheduling, security, offloading, and storage in fog/edge.</t>
        </is>
      </c>
    </row>
    <row r="22">
      <c r="A22" s="16" t="inlineStr">
        <is>
          <t>Level 8</t>
        </is>
      </c>
      <c r="B22" s="17" t="inlineStr">
        <is>
          <t>5G/6G &amp; MEC</t>
        </is>
      </c>
      <c r="C22" s="17" t="inlineStr">
        <is>
          <t>5G NR, Core &amp; Network Slicing</t>
        </is>
      </c>
      <c r="D22" s="17" t="inlineStr">
        <is>
          <t>5G Network Architecture and Slicing</t>
        </is>
      </c>
      <c r="E22" s="17" t="inlineStr">
        <is>
          <t>EURECOM / IMT / Coursera (Free Audit)</t>
        </is>
      </c>
      <c r="F22" s="17" t="inlineStr">
        <is>
          <t>Prof. Navid Nikaein</t>
        </is>
      </c>
      <c r="G22" s="31" t="inlineStr">
        <is>
          <t>https://www.coursera.org/learn/5g-network-architecture</t>
        </is>
      </c>
      <c r="H22" s="16" t="inlineStr">
        <is>
          <t>4.8</t>
        </is>
      </c>
      <c r="I22" s="16" t="inlineStr">
        <is>
          <t>12,000+</t>
        </is>
      </c>
      <c r="J22" s="16" t="inlineStr">
        <is>
          <t>2023</t>
        </is>
      </c>
      <c r="K22" s="16" t="inlineStr">
        <is>
          <t>Advanced</t>
        </is>
      </c>
      <c r="L22" s="32" t="n">
        <v>20</v>
      </c>
      <c r="M22" s="17" t="inlineStr">
        <is>
          <t>100% Free Audit Mode</t>
        </is>
      </c>
      <c r="N22" s="32" t="n">
        <v>9</v>
      </c>
      <c r="O22" s="32" t="n">
        <v>9</v>
      </c>
      <c r="P22" s="32" t="n">
        <v>10</v>
      </c>
      <c r="Q22" s="32" t="n">
        <v>10</v>
      </c>
      <c r="R22" s="32" t="n">
        <v>9</v>
      </c>
      <c r="S22" s="33">
        <f>ROUND((N22*0.20 + O22*0.20 + P22*0.25 + Q22*0.25 + R22*0.10), 1)</f>
        <v/>
      </c>
      <c r="T22" s="16" t="inlineStr">
        <is>
          <t>Must Take</t>
        </is>
      </c>
      <c r="U22" s="16" t="inlineStr">
        <is>
          <t>Week 13</t>
        </is>
      </c>
      <c r="V22" s="16" t="inlineStr">
        <is>
          <t>Not Started</t>
        </is>
      </c>
      <c r="W22" s="17" t="inlineStr">
        <is>
          <t>Outstanding telecommunications depth on 5G Service-Based Architecture (SBA), UPF, and URLLC.</t>
        </is>
      </c>
    </row>
    <row r="23">
      <c r="A23" s="12" t="inlineStr">
        <is>
          <t>Level 8</t>
        </is>
      </c>
      <c r="B23" s="13" t="inlineStr">
        <is>
          <t>5G/6G &amp; MEC</t>
        </is>
      </c>
      <c r="C23" s="13" t="inlineStr">
        <is>
          <t>6G Vision, AI-Native Networks &amp; ISAC</t>
        </is>
      </c>
      <c r="D23" s="13" t="inlineStr">
        <is>
          <t>Toward 6G: Evolution, Drivers and Key Technologies</t>
        </is>
      </c>
      <c r="E23" s="13" t="inlineStr">
        <is>
          <t>University of Oulu 6G Flagship</t>
        </is>
      </c>
      <c r="F23" s="13" t="inlineStr">
        <is>
          <t>Prof. Matti Latva-aho</t>
        </is>
      </c>
      <c r="G23" s="34" t="inlineStr">
        <is>
          <t>https://www.6gflagship.com/</t>
        </is>
      </c>
      <c r="H23" s="12" t="inlineStr">
        <is>
          <t>4.9</t>
        </is>
      </c>
      <c r="I23" s="12" t="inlineStr">
        <is>
          <t>Global 6G Flagship</t>
        </is>
      </c>
      <c r="J23" s="12" t="inlineStr">
        <is>
          <t>2024</t>
        </is>
      </c>
      <c r="K23" s="12" t="inlineStr">
        <is>
          <t>Graduate</t>
        </is>
      </c>
      <c r="L23" s="35" t="n">
        <v>15</v>
      </c>
      <c r="M23" s="13" t="inlineStr">
        <is>
          <t>100% Free Open Whitepapers</t>
        </is>
      </c>
      <c r="N23" s="35" t="n">
        <v>10</v>
      </c>
      <c r="O23" s="35" t="n">
        <v>9</v>
      </c>
      <c r="P23" s="35" t="n">
        <v>10</v>
      </c>
      <c r="Q23" s="35" t="n">
        <v>10</v>
      </c>
      <c r="R23" s="35" t="n">
        <v>9</v>
      </c>
      <c r="S23" s="36">
        <f>ROUND((N23*0.20 + O23*0.20 + P23*0.25 + Q23*0.25 + R23*0.10), 1)</f>
        <v/>
      </c>
      <c r="T23" s="12" t="inlineStr">
        <is>
          <t>Strongly Recommended</t>
        </is>
      </c>
      <c r="U23" s="12" t="inlineStr">
        <is>
          <t>Week 14</t>
        </is>
      </c>
      <c r="V23" s="12" t="inlineStr">
        <is>
          <t>Not Started</t>
        </is>
      </c>
      <c r="W23" s="13" t="inlineStr">
        <is>
          <t>Direct from the University of Oulu 6G Flagship. Analyzes integrated sensing, terahertz, and distributed AI.</t>
        </is>
      </c>
    </row>
    <row r="24">
      <c r="A24" s="16" t="inlineStr">
        <is>
          <t>Level 9</t>
        </is>
      </c>
      <c r="B24" s="17" t="inlineStr">
        <is>
          <t>Edge AI</t>
        </is>
      </c>
      <c r="C24" s="17" t="inlineStr">
        <is>
          <t>TinyML &amp; Model Compression</t>
        </is>
      </c>
      <c r="D24" s="17" t="inlineStr">
        <is>
          <t>TinyML Specialization (CS249r Textbook &amp; Labs)</t>
        </is>
      </c>
      <c r="E24" s="17" t="inlineStr">
        <is>
          <t>Harvard University Edge AI Lab</t>
        </is>
      </c>
      <c r="F24" s="17" t="inlineStr">
        <is>
          <t>Prof. Vijay Janapa Reddi</t>
        </is>
      </c>
      <c r="G24" s="31" t="inlineStr">
        <is>
          <t>https://tinyml.seas.harvard.edu/</t>
        </is>
      </c>
      <c r="H24" s="16" t="inlineStr">
        <is>
          <t>4.9</t>
        </is>
      </c>
      <c r="I24" s="16" t="inlineStr">
        <is>
          <t>85,000+</t>
        </is>
      </c>
      <c r="J24" s="16" t="inlineStr">
        <is>
          <t>2024</t>
        </is>
      </c>
      <c r="K24" s="16" t="inlineStr">
        <is>
          <t>Advanced</t>
        </is>
      </c>
      <c r="L24" s="32" t="n">
        <v>30</v>
      </c>
      <c r="M24" s="17" t="inlineStr">
        <is>
          <t>100% Free OpenCourse Material</t>
        </is>
      </c>
      <c r="N24" s="32" t="n">
        <v>10</v>
      </c>
      <c r="O24" s="32" t="n">
        <v>10</v>
      </c>
      <c r="P24" s="32" t="n">
        <v>10</v>
      </c>
      <c r="Q24" s="32" t="n">
        <v>10</v>
      </c>
      <c r="R24" s="32" t="n">
        <v>10</v>
      </c>
      <c r="S24" s="33">
        <f>ROUND((N24*0.20 + O24*0.20 + P24*0.25 + Q24*0.25 + R24*0.10), 1)</f>
        <v/>
      </c>
      <c r="T24" s="16" t="inlineStr">
        <is>
          <t>Must Take</t>
        </is>
      </c>
      <c r="U24" s="16" t="inlineStr">
        <is>
          <t>Weeks 17-18</t>
        </is>
      </c>
      <c r="V24" s="16" t="inlineStr">
        <is>
          <t>Not Started</t>
        </is>
      </c>
      <c r="W24" s="17" t="inlineStr">
        <is>
          <t>Premier course in embedded ML, model quantization, pruning, and deployment on microcontrollers.</t>
        </is>
      </c>
    </row>
    <row r="25">
      <c r="A25" s="12" t="inlineStr">
        <is>
          <t>Level 9</t>
        </is>
      </c>
      <c r="B25" s="13" t="inlineStr">
        <is>
          <t>Edge AI</t>
        </is>
      </c>
      <c r="C25" s="13" t="inlineStr">
        <is>
          <t>Federated Learning &amp; Split Computing</t>
        </is>
      </c>
      <c r="D25" s="13" t="inlineStr">
        <is>
          <t>Federated Learning: Systems and Algorithms</t>
        </is>
      </c>
      <c r="E25" s="13" t="inlineStr">
        <is>
          <t>Flower.ai &amp; Cambridge / IEEE</t>
        </is>
      </c>
      <c r="F25" s="13" t="inlineStr">
        <is>
          <t>Dr. Daniel Beutel &amp; Nicholas Lane</t>
        </is>
      </c>
      <c r="G25" s="34" t="inlineStr">
        <is>
          <t>https://flower.ai/docs/framework/</t>
        </is>
      </c>
      <c r="H25" s="12" t="inlineStr">
        <is>
          <t>4.9</t>
        </is>
      </c>
      <c r="I25" s="12" t="inlineStr">
        <is>
          <t>Leading FL Tool</t>
        </is>
      </c>
      <c r="J25" s="12" t="inlineStr">
        <is>
          <t>2024</t>
        </is>
      </c>
      <c r="K25" s="12" t="inlineStr">
        <is>
          <t>Advanced</t>
        </is>
      </c>
      <c r="L25" s="35" t="n">
        <v>20</v>
      </c>
      <c r="M25" s="13" t="inlineStr">
        <is>
          <t>100% Free Open-Source Docs</t>
        </is>
      </c>
      <c r="N25" s="35" t="n">
        <v>9</v>
      </c>
      <c r="O25" s="35" t="n">
        <v>10</v>
      </c>
      <c r="P25" s="35" t="n">
        <v>10</v>
      </c>
      <c r="Q25" s="35" t="n">
        <v>10</v>
      </c>
      <c r="R25" s="35" t="n">
        <v>10</v>
      </c>
      <c r="S25" s="36">
        <f>ROUND((N25*0.20 + O25*0.20 + P25*0.25 + Q25*0.25 + R25*0.10), 1)</f>
        <v/>
      </c>
      <c r="T25" s="12" t="inlineStr">
        <is>
          <t>Must Take</t>
        </is>
      </c>
      <c r="U25" s="12" t="inlineStr">
        <is>
          <t>Week 19</t>
        </is>
      </c>
      <c r="V25" s="12" t="inlineStr">
        <is>
          <t>Not Started</t>
        </is>
      </c>
      <c r="W25" s="13" t="inlineStr">
        <is>
          <t>Practical and algorithmic mastery of FedAvg, FedProx, communication compression, and split learning.</t>
        </is>
      </c>
    </row>
    <row r="26">
      <c r="A26" s="16" t="inlineStr">
        <is>
          <t>Level 9</t>
        </is>
      </c>
      <c r="B26" s="17" t="inlineStr">
        <is>
          <t>Edge AI</t>
        </is>
      </c>
      <c r="C26" s="17" t="inlineStr">
        <is>
          <t>Edge Intelligence Survey &amp; Taxonomy</t>
        </is>
      </c>
      <c r="D26" s="17" t="inlineStr">
        <is>
          <t>Edge Intelligence: Paving the Last Mile of AI</t>
        </is>
      </c>
      <c r="E26" s="17" t="inlineStr">
        <is>
          <t>arXiv Open Preprint / IEEE</t>
        </is>
      </c>
      <c r="F26" s="17" t="inlineStr">
        <is>
          <t>Prof. Zhi Zhou, Xu Chen, et al.</t>
        </is>
      </c>
      <c r="G26" s="31" t="inlineStr">
        <is>
          <t>https://arxiv.org/abs/1811.08504</t>
        </is>
      </c>
      <c r="H26" s="16" t="inlineStr">
        <is>
          <t>5.0</t>
        </is>
      </c>
      <c r="I26" s="16" t="inlineStr">
        <is>
          <t>3,500+ Cites</t>
        </is>
      </c>
      <c r="J26" s="16" t="inlineStr">
        <is>
          <t>Seminal (2019)</t>
        </is>
      </c>
      <c r="K26" s="16" t="inlineStr">
        <is>
          <t>Graduate</t>
        </is>
      </c>
      <c r="L26" s="32" t="n">
        <v>8</v>
      </c>
      <c r="M26" s="17" t="inlineStr">
        <is>
          <t>100% Free Open Preprint</t>
        </is>
      </c>
      <c r="N26" s="32" t="n">
        <v>10</v>
      </c>
      <c r="O26" s="32" t="n">
        <v>10</v>
      </c>
      <c r="P26" s="32" t="n">
        <v>10</v>
      </c>
      <c r="Q26" s="32" t="n">
        <v>10</v>
      </c>
      <c r="R26" s="32" t="n">
        <v>10</v>
      </c>
      <c r="S26" s="33">
        <f>ROUND((N26*0.20 + O26*0.20 + P26*0.25 + Q26*0.25 + R26*0.10), 1)</f>
        <v/>
      </c>
      <c r="T26" s="16" t="inlineStr">
        <is>
          <t>Must Take</t>
        </is>
      </c>
      <c r="U26" s="16" t="inlineStr">
        <is>
          <t>Week 17</t>
        </is>
      </c>
      <c r="V26" s="16" t="inlineStr">
        <is>
          <t>Not Started</t>
        </is>
      </c>
      <c r="W26" s="17" t="inlineStr">
        <is>
          <t>The canonical Edge AI taxonomy paper distinguishing Edge for AI vs AI for Edge.</t>
        </is>
      </c>
    </row>
    <row r="27">
      <c r="A27" s="12" t="inlineStr">
        <is>
          <t>Level 10</t>
        </is>
      </c>
      <c r="B27" s="13" t="inlineStr">
        <is>
          <t>Optimization</t>
        </is>
      </c>
      <c r="C27" s="13" t="inlineStr">
        <is>
          <t>Convex Optimization for Systems</t>
        </is>
      </c>
      <c r="D27" s="13" t="inlineStr">
        <is>
          <t>EE364a: Convex Optimization I (Book &amp; Lectures)</t>
        </is>
      </c>
      <c r="E27" s="13" t="inlineStr">
        <is>
          <t>Stanford University / YouTube</t>
        </is>
      </c>
      <c r="F27" s="13" t="inlineStr">
        <is>
          <t>Prof. Stephen Boyd</t>
        </is>
      </c>
      <c r="G27" s="34" t="inlineStr">
        <is>
          <t>https://web.stanford.edu/class/ee364a/</t>
        </is>
      </c>
      <c r="H27" s="12" t="inlineStr">
        <is>
          <t>5.0</t>
        </is>
      </c>
      <c r="I27" s="12" t="inlineStr">
        <is>
          <t>Stanford Landmark</t>
        </is>
      </c>
      <c r="J27" s="12" t="inlineStr">
        <is>
          <t>2024</t>
        </is>
      </c>
      <c r="K27" s="12" t="inlineStr">
        <is>
          <t>Graduate</t>
        </is>
      </c>
      <c r="L27" s="35" t="n">
        <v>35</v>
      </c>
      <c r="M27" s="13" t="inlineStr">
        <is>
          <t>100% Free Book &amp; Lectures</t>
        </is>
      </c>
      <c r="N27" s="35" t="n">
        <v>10</v>
      </c>
      <c r="O27" s="35" t="n">
        <v>10</v>
      </c>
      <c r="P27" s="35" t="n">
        <v>9</v>
      </c>
      <c r="Q27" s="35" t="n">
        <v>10</v>
      </c>
      <c r="R27" s="35" t="n">
        <v>9</v>
      </c>
      <c r="S27" s="36">
        <f>ROUND((N27*0.20 + O27*0.20 + P27*0.25 + Q27*0.25 + R27*0.10), 1)</f>
        <v/>
      </c>
      <c r="T27" s="12" t="inlineStr">
        <is>
          <t>Must Take</t>
        </is>
      </c>
      <c r="U27" s="12" t="inlineStr">
        <is>
          <t>Week 16</t>
        </is>
      </c>
      <c r="V27" s="12" t="inlineStr">
        <is>
          <t>Not Started</t>
        </is>
      </c>
      <c r="W27" s="13" t="inlineStr">
        <is>
          <t>Essential mathematical foundation for formulation of latency/energy optimization in task offloading.</t>
        </is>
      </c>
    </row>
    <row r="28">
      <c r="A28" s="16" t="inlineStr">
        <is>
          <t>Level 10</t>
        </is>
      </c>
      <c r="B28" s="17" t="inlineStr">
        <is>
          <t>Optimization</t>
        </is>
      </c>
      <c r="C28" s="17" t="inlineStr">
        <is>
          <t>Reinforcement Learning for Resource Mgmt</t>
        </is>
      </c>
      <c r="D28" s="17" t="inlineStr">
        <is>
          <t>Reinforcement Learning Course (David Silver)</t>
        </is>
      </c>
      <c r="E28" s="17" t="inlineStr">
        <is>
          <t>UCL &amp; DeepMind / YouTube</t>
        </is>
      </c>
      <c r="F28" s="17" t="inlineStr">
        <is>
          <t>Prof. David Silver</t>
        </is>
      </c>
      <c r="G28" s="31" t="inlineStr">
        <is>
          <t>https://www.youtube.com/playlist?list=PLqYmG7hTraZDM-OYHWgPebj2MfCFzFObQ</t>
        </is>
      </c>
      <c r="H28" s="16" t="inlineStr">
        <is>
          <t>4.9</t>
        </is>
      </c>
      <c r="I28" s="16" t="inlineStr">
        <is>
          <t>250,000+</t>
        </is>
      </c>
      <c r="J28" s="16" t="inlineStr">
        <is>
          <t>2023</t>
        </is>
      </c>
      <c r="K28" s="16" t="inlineStr">
        <is>
          <t>Advanced</t>
        </is>
      </c>
      <c r="L28" s="32" t="n">
        <v>30</v>
      </c>
      <c r="M28" s="17" t="inlineStr">
        <is>
          <t>100% Free Full Lectures</t>
        </is>
      </c>
      <c r="N28" s="32" t="n">
        <v>9</v>
      </c>
      <c r="O28" s="32" t="n">
        <v>9</v>
      </c>
      <c r="P28" s="32" t="n">
        <v>9</v>
      </c>
      <c r="Q28" s="32" t="n">
        <v>10</v>
      </c>
      <c r="R28" s="32" t="n">
        <v>9</v>
      </c>
      <c r="S28" s="33">
        <f>ROUND((N28*0.20 + O28*0.20 + P28*0.25 + Q28*0.25 + R28*0.10), 1)</f>
        <v/>
      </c>
      <c r="T28" s="16" t="inlineStr">
        <is>
          <t>Strongly Recommended</t>
        </is>
      </c>
      <c r="U28" s="16" t="inlineStr">
        <is>
          <t>Week 16</t>
        </is>
      </c>
      <c r="V28" s="16" t="inlineStr">
        <is>
          <t>Not Started</t>
        </is>
      </c>
      <c r="W28" s="17" t="inlineStr">
        <is>
          <t>Focuses on Markov Decision Processes (MDPs), Q-Learning, and Policy Gradients applied to edge scheduling.</t>
        </is>
      </c>
    </row>
    <row r="29">
      <c r="A29" s="12" t="inlineStr">
        <is>
          <t>Level 11</t>
        </is>
      </c>
      <c r="B29" s="13" t="inlineStr">
        <is>
          <t>Security &amp; Privacy</t>
        </is>
      </c>
      <c r="C29" s="13" t="inlineStr">
        <is>
          <t>Edge &amp; Systems Security</t>
        </is>
      </c>
      <c r="D29" s="13" t="inlineStr">
        <is>
          <t>CS255: Introduction to Cryptography &amp; Security</t>
        </is>
      </c>
      <c r="E29" s="13" t="inlineStr">
        <is>
          <t>Stanford University</t>
        </is>
      </c>
      <c r="F29" s="13" t="inlineStr">
        <is>
          <t>Prof. Dan Boneh</t>
        </is>
      </c>
      <c r="G29" s="34" t="inlineStr">
        <is>
          <t>https://crypto.stanford.edu/cs255/</t>
        </is>
      </c>
      <c r="H29" s="12" t="inlineStr">
        <is>
          <t>4.8</t>
        </is>
      </c>
      <c r="I29" s="12" t="inlineStr">
        <is>
          <t>Stanford Core</t>
        </is>
      </c>
      <c r="J29" s="12" t="inlineStr">
        <is>
          <t>2024</t>
        </is>
      </c>
      <c r="K29" s="12" t="inlineStr">
        <is>
          <t>Intermediate</t>
        </is>
      </c>
      <c r="L29" s="35" t="n">
        <v>18</v>
      </c>
      <c r="M29" s="13" t="inlineStr">
        <is>
          <t>100% Free OpenCourse Material</t>
        </is>
      </c>
      <c r="N29" s="35" t="n">
        <v>8</v>
      </c>
      <c r="O29" s="35" t="n">
        <v>8</v>
      </c>
      <c r="P29" s="35" t="n">
        <v>9</v>
      </c>
      <c r="Q29" s="35" t="n">
        <v>8</v>
      </c>
      <c r="R29" s="35" t="n">
        <v>8</v>
      </c>
      <c r="S29" s="36">
        <f>ROUND((N29*0.20 + O29*0.20 + P29*0.25 + Q29*0.25 + R29*0.10), 1)</f>
        <v/>
      </c>
      <c r="T29" s="12" t="inlineStr">
        <is>
          <t>Strongly Recommended</t>
        </is>
      </c>
      <c r="U29" s="12" t="inlineStr">
        <is>
          <t>Week 20</t>
        </is>
      </c>
      <c r="V29" s="12" t="inlineStr">
        <is>
          <t>Not Started</t>
        </is>
      </c>
      <c r="W29" s="13" t="inlineStr">
        <is>
          <t>Covers hardware roots of trust, cryptographic protocols, authentication, and secure enclaves.</t>
        </is>
      </c>
    </row>
    <row r="30">
      <c r="A30" s="16" t="inlineStr">
        <is>
          <t>Level 11</t>
        </is>
      </c>
      <c r="B30" s="17" t="inlineStr">
        <is>
          <t>Security &amp; Privacy</t>
        </is>
      </c>
      <c r="C30" s="17" t="inlineStr">
        <is>
          <t>Privacy-Preserving Federated Learning</t>
        </is>
      </c>
      <c r="D30" s="17" t="inlineStr">
        <is>
          <t>Advances and Open Problems in Federated Learning</t>
        </is>
      </c>
      <c r="E30" s="17" t="inlineStr">
        <is>
          <t>arXiv Open Access / Google Research</t>
        </is>
      </c>
      <c r="F30" s="17" t="inlineStr">
        <is>
          <t>Peter Kairouz et al.</t>
        </is>
      </c>
      <c r="G30" s="31" t="inlineStr">
        <is>
          <t>https://arxiv.org/abs/1912.04977</t>
        </is>
      </c>
      <c r="H30" s="16" t="inlineStr">
        <is>
          <t>5.0</t>
        </is>
      </c>
      <c r="I30" s="16" t="inlineStr">
        <is>
          <t>3,200+ Cites</t>
        </is>
      </c>
      <c r="J30" s="16" t="inlineStr">
        <is>
          <t>Seminal (2021)</t>
        </is>
      </c>
      <c r="K30" s="16" t="inlineStr">
        <is>
          <t>Graduate</t>
        </is>
      </c>
      <c r="L30" s="32" t="n">
        <v>12</v>
      </c>
      <c r="M30" s="17" t="inlineStr">
        <is>
          <t>100% Free Open Access</t>
        </is>
      </c>
      <c r="N30" s="32" t="n">
        <v>10</v>
      </c>
      <c r="O30" s="32" t="n">
        <v>10</v>
      </c>
      <c r="P30" s="32" t="n">
        <v>10</v>
      </c>
      <c r="Q30" s="32" t="n">
        <v>10</v>
      </c>
      <c r="R30" s="32" t="n">
        <v>10</v>
      </c>
      <c r="S30" s="33">
        <f>ROUND((N30*0.20 + O30*0.20 + P30*0.25 + Q30*0.25 + R30*0.10), 1)</f>
        <v/>
      </c>
      <c r="T30" s="16" t="inlineStr">
        <is>
          <t>Must Take</t>
        </is>
      </c>
      <c r="U30" s="16" t="inlineStr">
        <is>
          <t>Week 20</t>
        </is>
      </c>
      <c r="V30" s="16" t="inlineStr">
        <is>
          <t>Not Started</t>
        </is>
      </c>
      <c r="W30" s="17" t="inlineStr">
        <is>
          <t>Comprehensive analysis of differential privacy, secure aggregation, and poisoning attacks in edge FL.</t>
        </is>
      </c>
    </row>
    <row r="31">
      <c r="A31" s="12" t="inlineStr">
        <is>
          <t>Level 12</t>
        </is>
      </c>
      <c r="B31" s="13" t="inlineStr">
        <is>
          <t>Simulation &amp; Tools</t>
        </is>
      </c>
      <c r="C31" s="13" t="inlineStr">
        <is>
          <t>Edge Simulation with EdgeCloudSim</t>
        </is>
      </c>
      <c r="D31" s="13" t="inlineStr">
        <is>
          <t>EdgeCloudSim: Environment for Performance Evaluation</t>
        </is>
      </c>
      <c r="E31" s="13" t="inlineStr">
        <is>
          <t>Boğaziçi University / GitHub</t>
        </is>
      </c>
      <c r="F31" s="13" t="inlineStr">
        <is>
          <t>Dr. Cagatay Sonmez</t>
        </is>
      </c>
      <c r="G31" s="34" t="inlineStr">
        <is>
          <t>https://github.com/CagataySonmez/EdgeCloudSim</t>
        </is>
      </c>
      <c r="H31" s="12" t="inlineStr">
        <is>
          <t>4.9</t>
        </is>
      </c>
      <c r="I31" s="12" t="inlineStr">
        <is>
          <t>1,200+ Cites</t>
        </is>
      </c>
      <c r="J31" s="12" t="inlineStr">
        <is>
          <t>2024</t>
        </is>
      </c>
      <c r="K31" s="12" t="inlineStr">
        <is>
          <t>Advanced</t>
        </is>
      </c>
      <c r="L31" s="35" t="n">
        <v>20</v>
      </c>
      <c r="M31" s="13" t="inlineStr">
        <is>
          <t>100% Free Open Source</t>
        </is>
      </c>
      <c r="N31" s="35" t="n">
        <v>9</v>
      </c>
      <c r="O31" s="35" t="n">
        <v>9</v>
      </c>
      <c r="P31" s="35" t="n">
        <v>10</v>
      </c>
      <c r="Q31" s="35" t="n">
        <v>10</v>
      </c>
      <c r="R31" s="35" t="n">
        <v>10</v>
      </c>
      <c r="S31" s="36">
        <f>ROUND((N31*0.20 + O31*0.20 + P31*0.25 + Q31*0.25 + R31*0.10), 1)</f>
        <v/>
      </c>
      <c r="T31" s="12" t="inlineStr">
        <is>
          <t>Must Take</t>
        </is>
      </c>
      <c r="U31" s="12" t="inlineStr">
        <is>
          <t>Weeks 21-23</t>
        </is>
      </c>
      <c r="V31" s="12" t="inlineStr">
        <is>
          <t>Not Started</t>
        </is>
      </c>
      <c r="W31" s="13" t="inlineStr">
        <is>
          <t>The primary discrete-event simulator for edge computation offloading and network mobility.</t>
        </is>
      </c>
    </row>
    <row r="32">
      <c r="A32" s="16" t="inlineStr">
        <is>
          <t>Level 12</t>
        </is>
      </c>
      <c r="B32" s="17" t="inlineStr">
        <is>
          <t>Simulation &amp; Tools</t>
        </is>
      </c>
      <c r="C32" s="17" t="inlineStr">
        <is>
          <t>Network Simulation with ns-3</t>
        </is>
      </c>
      <c r="D32" s="17" t="inlineStr">
        <is>
          <t>ns-3 Discrete-Event Network Simulator Tutorial</t>
        </is>
      </c>
      <c r="E32" s="17" t="inlineStr">
        <is>
          <t>ns-3 Consortium / Georgia Tech</t>
        </is>
      </c>
      <c r="F32" s="17" t="inlineStr">
        <is>
          <t>ns-3 Development Team</t>
        </is>
      </c>
      <c r="G32" s="31" t="inlineStr">
        <is>
          <t>https://www.nsnam.org/docs/tutorial/html/</t>
        </is>
      </c>
      <c r="H32" s="16" t="inlineStr">
        <is>
          <t>4.8</t>
        </is>
      </c>
      <c r="I32" s="16" t="inlineStr">
        <is>
          <t>Global Standard</t>
        </is>
      </c>
      <c r="J32" s="16" t="inlineStr">
        <is>
          <t>2024</t>
        </is>
      </c>
      <c r="K32" s="16" t="inlineStr">
        <is>
          <t>Advanced</t>
        </is>
      </c>
      <c r="L32" s="32" t="n">
        <v>25</v>
      </c>
      <c r="M32" s="17" t="inlineStr">
        <is>
          <t>100% Free Open Source</t>
        </is>
      </c>
      <c r="N32" s="32" t="n">
        <v>9</v>
      </c>
      <c r="O32" s="32" t="n">
        <v>10</v>
      </c>
      <c r="P32" s="32" t="n">
        <v>9</v>
      </c>
      <c r="Q32" s="32" t="n">
        <v>10</v>
      </c>
      <c r="R32" s="32" t="n">
        <v>9</v>
      </c>
      <c r="S32" s="33">
        <f>ROUND((N32*0.20 + O32*0.20 + P32*0.25 + Q32*0.25 + R32*0.10), 1)</f>
        <v/>
      </c>
      <c r="T32" s="16" t="inlineStr">
        <is>
          <t>Strongly Recommended</t>
        </is>
      </c>
      <c r="U32" s="16" t="inlineStr">
        <is>
          <t>Week 21</t>
        </is>
      </c>
      <c r="V32" s="16" t="inlineStr">
        <is>
          <t>Not Started</t>
        </is>
      </c>
      <c r="W32" s="17" t="inlineStr">
        <is>
          <t>Detailed packet-level modeling of 5G/LTE and Wi-Fi networks in edge computation scenarios.</t>
        </is>
      </c>
    </row>
    <row r="33">
      <c r="A33" s="12" t="inlineStr">
        <is>
          <t>Level 13</t>
        </is>
      </c>
      <c r="B33" s="13" t="inlineStr">
        <is>
          <t>Research Methods</t>
        </is>
      </c>
      <c r="C33" s="13" t="inlineStr">
        <is>
          <t>Academic Writing &amp; Research Methodology</t>
        </is>
      </c>
      <c r="D33" s="13" t="inlineStr">
        <is>
          <t>Writing in the Sciences (Stanford Online)</t>
        </is>
      </c>
      <c r="E33" s="13" t="inlineStr">
        <is>
          <t>Stanford Online / Coursera (Free Audit)</t>
        </is>
      </c>
      <c r="F33" s="13" t="inlineStr">
        <is>
          <t>Dr. Kristin Sainani</t>
        </is>
      </c>
      <c r="G33" s="34" t="inlineStr">
        <is>
          <t>https://www.coursera.org/learn/sciwrite</t>
        </is>
      </c>
      <c r="H33" s="12" t="inlineStr">
        <is>
          <t>4.9</t>
        </is>
      </c>
      <c r="I33" s="12" t="inlineStr">
        <is>
          <t>150,000+</t>
        </is>
      </c>
      <c r="J33" s="12" t="inlineStr">
        <is>
          <t>2024</t>
        </is>
      </c>
      <c r="K33" s="12" t="inlineStr">
        <is>
          <t>Intermediate</t>
        </is>
      </c>
      <c r="L33" s="35" t="n">
        <v>15</v>
      </c>
      <c r="M33" s="13" t="inlineStr">
        <is>
          <t>100% Free Audit Mode</t>
        </is>
      </c>
      <c r="N33" s="35" t="n">
        <v>9</v>
      </c>
      <c r="O33" s="35" t="n">
        <v>8</v>
      </c>
      <c r="P33" s="35" t="n">
        <v>7</v>
      </c>
      <c r="Q33" s="35" t="n">
        <v>10</v>
      </c>
      <c r="R33" s="35" t="n">
        <v>9</v>
      </c>
      <c r="S33" s="36">
        <f>ROUND((N33*0.20 + O33*0.20 + P33*0.25 + Q33*0.25 + R33*0.10), 1)</f>
        <v/>
      </c>
      <c r="T33" s="12" t="inlineStr">
        <is>
          <t>Must Take</t>
        </is>
      </c>
      <c r="U33" s="12" t="inlineStr">
        <is>
          <t>Weeks 23-24</t>
        </is>
      </c>
      <c r="V33" s="12" t="inlineStr">
        <is>
          <t>Not Started</t>
        </is>
      </c>
      <c r="W33" s="13" t="inlineStr">
        <is>
          <t>Mastery of research paper structure, clear argumentation, literature review synthesis, and proposal writing.</t>
        </is>
      </c>
    </row>
    <row r="34">
      <c r="A34" s="16" t="inlineStr">
        <is>
          <t>Level 13</t>
        </is>
      </c>
      <c r="B34" s="17" t="inlineStr">
        <is>
          <t>Research Methods</t>
        </is>
      </c>
      <c r="C34" s="17" t="inlineStr">
        <is>
          <t>LaTeX &amp; Technical Documentation</t>
        </is>
      </c>
      <c r="D34" s="17" t="inlineStr">
        <is>
          <t>Overleaf LaTeX Tutorial &amp; Research Templates</t>
        </is>
      </c>
      <c r="E34" s="17" t="inlineStr">
        <is>
          <t>Overleaf / Digital Science</t>
        </is>
      </c>
      <c r="F34" s="17" t="inlineStr">
        <is>
          <t>Overleaf Academic Team</t>
        </is>
      </c>
      <c r="G34" s="31" t="inlineStr">
        <is>
          <t>https://www.overleaf.com/learn</t>
        </is>
      </c>
      <c r="H34" s="16" t="inlineStr">
        <is>
          <t>4.9</t>
        </is>
      </c>
      <c r="I34" s="16" t="inlineStr">
        <is>
          <t>Global Standard</t>
        </is>
      </c>
      <c r="J34" s="16" t="inlineStr">
        <is>
          <t>2024</t>
        </is>
      </c>
      <c r="K34" s="16" t="inlineStr">
        <is>
          <t>Foundational</t>
        </is>
      </c>
      <c r="L34" s="32" t="n">
        <v>8</v>
      </c>
      <c r="M34" s="17" t="inlineStr">
        <is>
          <t>100% Free Open Tutorials</t>
        </is>
      </c>
      <c r="N34" s="32" t="n">
        <v>8</v>
      </c>
      <c r="O34" s="32" t="n">
        <v>8</v>
      </c>
      <c r="P34" s="32" t="n">
        <v>7</v>
      </c>
      <c r="Q34" s="32" t="n">
        <v>9</v>
      </c>
      <c r="R34" s="32" t="n">
        <v>10</v>
      </c>
      <c r="S34" s="33">
        <f>ROUND((N34*0.20 + O34*0.20 + P34*0.25 + Q34*0.25 + R34*0.10), 1)</f>
        <v/>
      </c>
      <c r="T34" s="16" t="inlineStr">
        <is>
          <t>Must Take</t>
        </is>
      </c>
      <c r="U34" s="16" t="inlineStr">
        <is>
          <t>Week 23</t>
        </is>
      </c>
      <c r="V34" s="16" t="inlineStr">
        <is>
          <t>Not Started</t>
        </is>
      </c>
      <c r="W34" s="17" t="inlineStr">
        <is>
          <t>Standard authoring environment for IEEE and ACM conference papers and PhD thesis proposals.</t>
        </is>
      </c>
    </row>
  </sheetData>
  <mergeCells count="1">
    <mergeCell ref="A1:W2"/>
  </mergeCells>
  <conditionalFormatting sqref="V4:V35">
    <cfRule type="cellIs" priority="1" operator="equal" dxfId="0" stopIfTrue="1">
      <formula>"Completed"</formula>
    </cfRule>
    <cfRule type="cellIs" priority="2" operator="equal" dxfId="1" stopIfTrue="1">
      <formula>"In Progress"</formula>
    </cfRule>
    <cfRule type="cellIs" priority="3" operator="equal" dxfId="2" stopIfTrue="1">
      <formula>"Not Started"</formula>
    </cfRule>
    <cfRule type="cellIs" priority="4" operator="equal" dxfId="0" stopIfTrue="1">
      <formula>"Achieved"</formula>
    </cfRule>
  </conditionalFormatting>
  <dataValidations count="1">
    <dataValidation sqref="M4:M25 N4:N27 V4:V35" showDropDown="0" showInputMessage="0" showErrorMessage="0" allowBlank="1" type="list">
      <formula1>"Not Started,In Progress,Completed,Skipped,Needs Review"</formula1>
    </dataValidation>
  </dataValidations>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G15"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 xmlns:r="http://schemas.openxmlformats.org/officeDocument/2006/relationships" ref="G19" r:id="rId16"/>
    <hyperlink xmlns:r="http://schemas.openxmlformats.org/officeDocument/2006/relationships" ref="G20" r:id="rId17"/>
    <hyperlink xmlns:r="http://schemas.openxmlformats.org/officeDocument/2006/relationships" ref="G21" r:id="rId18"/>
    <hyperlink xmlns:r="http://schemas.openxmlformats.org/officeDocument/2006/relationships" ref="G22" r:id="rId19"/>
    <hyperlink xmlns:r="http://schemas.openxmlformats.org/officeDocument/2006/relationships" ref="G23" r:id="rId20"/>
    <hyperlink xmlns:r="http://schemas.openxmlformats.org/officeDocument/2006/relationships" ref="G24" r:id="rId21"/>
    <hyperlink xmlns:r="http://schemas.openxmlformats.org/officeDocument/2006/relationships" ref="G25" r:id="rId22"/>
    <hyperlink xmlns:r="http://schemas.openxmlformats.org/officeDocument/2006/relationships" ref="G26" r:id="rId23"/>
    <hyperlink xmlns:r="http://schemas.openxmlformats.org/officeDocument/2006/relationships" ref="G27" r:id="rId24"/>
    <hyperlink xmlns:r="http://schemas.openxmlformats.org/officeDocument/2006/relationships" ref="G28" r:id="rId25"/>
    <hyperlink xmlns:r="http://schemas.openxmlformats.org/officeDocument/2006/relationships" ref="G29" r:id="rId26"/>
    <hyperlink xmlns:r="http://schemas.openxmlformats.org/officeDocument/2006/relationships" ref="G30" r:id="rId27"/>
    <hyperlink xmlns:r="http://schemas.openxmlformats.org/officeDocument/2006/relationships" ref="G31" r:id="rId28"/>
    <hyperlink xmlns:r="http://schemas.openxmlformats.org/officeDocument/2006/relationships" ref="G32" r:id="rId29"/>
    <hyperlink xmlns:r="http://schemas.openxmlformats.org/officeDocument/2006/relationships" ref="G33" r:id="rId30"/>
    <hyperlink xmlns:r="http://schemas.openxmlformats.org/officeDocument/2006/relationships" ref="G34" r:id="rId3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7"/>
  <sheetViews>
    <sheetView showGridLines="1" workbookViewId="0">
      <pane xSplit="4" ySplit="3" topLeftCell="E4"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5" customWidth="1" min="2" max="2"/>
    <col width="20" customWidth="1" min="3" max="3"/>
    <col width="28" customWidth="1" min="4" max="4"/>
    <col width="35" customWidth="1" min="5" max="5"/>
    <col width="32" customWidth="1" min="6" max="6"/>
    <col width="30" customWidth="1" min="7" max="7"/>
    <col width="32" customWidth="1" min="8" max="8"/>
    <col width="35" customWidth="1" min="9" max="9"/>
    <col width="35" customWidth="1" min="10" max="10"/>
    <col width="12" customWidth="1" min="11" max="11"/>
    <col width="32" customWidth="1" min="12" max="12"/>
    <col width="32" customWidth="1" min="13" max="13"/>
    <col width="14" customWidth="1" min="14" max="14"/>
    <col width="25" customWidth="1" min="15" max="15"/>
  </cols>
  <sheetData>
    <row r="1">
      <c r="A1" s="1" t="inlineStr">
        <is>
          <t>24-WEEK STRUCTURED EDGE COMPUTING RESEARCH PROGRAM</t>
        </is>
      </c>
    </row>
    <row r="2"/>
    <row r="3" ht="28" customHeight="1">
      <c r="A3" s="11" t="inlineStr">
        <is>
          <t>Week</t>
        </is>
      </c>
      <c r="B3" s="11" t="inlineStr">
        <is>
          <t>Dates / Phase</t>
        </is>
      </c>
      <c r="C3" s="11" t="inlineStr">
        <is>
          <t>Module / Level</t>
        </is>
      </c>
      <c r="D3" s="11" t="inlineStr">
        <is>
          <t>Thematic Topic</t>
        </is>
      </c>
      <c r="E3" s="11" t="inlineStr">
        <is>
          <t>Learning Objectives</t>
        </is>
      </c>
      <c r="F3" s="11" t="inlineStr">
        <is>
          <t>Primary Course / Study Material</t>
        </is>
      </c>
      <c r="G3" s="11" t="inlineStr">
        <is>
          <t>Secondary Resource / Videos</t>
        </is>
      </c>
      <c r="H3" s="11" t="inlineStr">
        <is>
          <t>Research Paper Reading</t>
        </is>
      </c>
      <c r="I3" s="11" t="inlineStr">
        <is>
          <t>Practical Hands-on Activity</t>
        </is>
      </c>
      <c r="J3" s="11" t="inlineStr">
        <is>
          <t>Research Methodology Activity</t>
        </is>
      </c>
      <c r="K3" s="11" t="inlineStr">
        <is>
          <t>Target Hours</t>
        </is>
      </c>
      <c r="L3" s="11" t="inlineStr">
        <is>
          <t>Expected Deliverable</t>
        </is>
      </c>
      <c r="M3" s="11" t="inlineStr">
        <is>
          <t>Completion Criteria</t>
        </is>
      </c>
      <c r="N3" s="11" t="inlineStr">
        <is>
          <t>Status</t>
        </is>
      </c>
      <c r="O3" s="11" t="inlineStr">
        <is>
          <t>Reflections &amp; Notes</t>
        </is>
      </c>
    </row>
    <row r="4">
      <c r="A4" s="16" t="n">
        <v>1</v>
      </c>
      <c r="B4" s="16" t="inlineStr">
        <is>
          <t>Month 1 - W1</t>
        </is>
      </c>
      <c r="C4" s="17" t="inlineStr">
        <is>
          <t>Level 0: Orientation</t>
        </is>
      </c>
      <c r="D4" s="17" t="inlineStr">
        <is>
          <t>Edge Computing Paradigm &amp; Device-Edge-Cloud Continuum</t>
        </is>
      </c>
      <c r="E4" s="17" t="inlineStr">
        <is>
          <t>Deconstruct edge computing definitions, why latency/bandwidth necessitate edge, and differentiate Cloudlets, Fog, and MEC.</t>
        </is>
      </c>
      <c r="F4" s="17" t="inlineStr">
        <is>
          <t>LF Edge: Open Architecture &amp; Whitepapers (Free)</t>
        </is>
      </c>
      <c r="G4" s="17" t="inlineStr">
        <is>
          <t>IEEE ComSoc Edge Open Tutorials</t>
        </is>
      </c>
      <c r="H4" s="17" t="inlineStr">
        <is>
          <t>Shi et al. (2016) 'Edge Computing: Vision and Challenges' (Open Access)</t>
        </is>
      </c>
      <c r="I4" s="17" t="inlineStr">
        <is>
          <t>Architectural Mapping: Diagram 3 real-world topologies (Connected Autonomous Vehicle, Smart Factory, Remote Healthcare).</t>
        </is>
      </c>
      <c r="J4" s="17" t="inlineStr">
        <is>
          <t>Literature Synthesis: Write a 1-page critique summarizing the driving physical and economic constraints of Edge Computing.</t>
        </is>
      </c>
      <c r="K4" s="32" t="n">
        <v>8</v>
      </c>
      <c r="L4" s="37" t="inlineStr">
        <is>
          <t>1-Page Research Memorandum: 'Why Edge Computing is Inevitable'</t>
        </is>
      </c>
      <c r="M4" s="17" t="inlineStr">
        <is>
          <t>Clear taxonomy diagram + 1-page paper critique completed</t>
        </is>
      </c>
      <c r="N4" s="16" t="inlineStr">
        <is>
          <t>In Progress</t>
        </is>
      </c>
      <c r="O4" s="17" t="inlineStr"/>
    </row>
    <row r="5">
      <c r="A5" s="12" t="n">
        <v>2</v>
      </c>
      <c r="B5" s="12" t="inlineStr">
        <is>
          <t>Month 1 - W2</t>
        </is>
      </c>
      <c r="C5" s="13" t="inlineStr">
        <is>
          <t>Level 1: Networking</t>
        </is>
      </c>
      <c r="D5" s="13" t="inlineStr">
        <is>
          <t>Transport Protocols, Latency &amp; Bandwidth-Delay Product</t>
        </is>
      </c>
      <c r="E5" s="13" t="inlineStr">
        <is>
          <t>Analyze TCP vs UDP behavior in edge networks, bufferbloat, jitter, tail latency, and packet loss impact on real-time apps.</t>
        </is>
      </c>
      <c r="F5" s="13" t="inlineStr">
        <is>
          <t>Stanford CS144: Intro to Computer Networking (Free OpenCourseWare)</t>
        </is>
      </c>
      <c r="G5" s="13" t="inlineStr">
        <is>
          <t>Kurose &amp; Ross Free Author Video Lectures</t>
        </is>
      </c>
      <c r="H5" s="13" t="inlineStr">
        <is>
          <t>Satyanarayanan (2009) 'The Case for VM-Based Cloudlets in Mobile Computing' (Open Access)</t>
        </is>
      </c>
      <c r="I5" s="13" t="inlineStr">
        <is>
          <t>Network Emulation: Measure round-trip time (RTT) and jitter using ping/iperf3 under simulated packet loss and throttling.</t>
        </is>
      </c>
      <c r="J5" s="13" t="inlineStr">
        <is>
          <t>Methodology: Extract experimental setups and network metric definitions from Satyanarayanan (2009).</t>
        </is>
      </c>
      <c r="K5" s="35" t="n">
        <v>8.5</v>
      </c>
      <c r="L5" s="37" t="inlineStr">
        <is>
          <t>Network Latency &amp; Throughput Benchmark Report</t>
        </is>
      </c>
      <c r="M5" s="13" t="inlineStr">
        <is>
          <t>Hands-on iperf3 logs + Cloudlet latency analysis complete</t>
        </is>
      </c>
      <c r="N5" s="12" t="inlineStr">
        <is>
          <t>Not Started</t>
        </is>
      </c>
      <c r="O5" s="13" t="inlineStr"/>
    </row>
    <row r="6">
      <c r="A6" s="16" t="n">
        <v>3</v>
      </c>
      <c r="B6" s="16" t="inlineStr">
        <is>
          <t>Month 1 - W3</t>
        </is>
      </c>
      <c r="C6" s="17" t="inlineStr">
        <is>
          <t>Level 1: Networking</t>
        </is>
      </c>
      <c r="D6" s="17" t="inlineStr">
        <is>
          <t>Software-Defined Networking (SDN) &amp; Programmable Planes</t>
        </is>
      </c>
      <c r="E6" s="17" t="inlineStr">
        <is>
          <t>Understand decoupling of control and data planes, OpenFlow, and how SDN enables dynamic edge traffic steering.</t>
        </is>
      </c>
      <c r="F6" s="17" t="inlineStr">
        <is>
          <t>Georgia Tech CS6250: SDN (Free Full Video Lectures)</t>
        </is>
      </c>
      <c r="G6" s="17" t="inlineStr">
        <is>
          <t>P4 Language Tutorials (p4.org Free)</t>
        </is>
      </c>
      <c r="H6" s="17" t="inlineStr">
        <is>
          <t>Kreutz et al. (2015) 'Software-Defined Networking: A Comprehensive Survey' (Open Access)</t>
        </is>
      </c>
      <c r="I6" s="17" t="inlineStr">
        <is>
          <t>Mininet Lab: Build a custom 4-switch topology in Mininet and write a simple OpenFlow controller rule to redirect edge traffic.</t>
        </is>
      </c>
      <c r="J6" s="17" t="inlineStr">
        <is>
          <t>Research Design: Identify how SDN controllers address dynamic failover in multi-edge server topologies.</t>
        </is>
      </c>
      <c r="K6" s="32" t="n">
        <v>8.5</v>
      </c>
      <c r="L6" s="37" t="inlineStr">
        <is>
          <t>Mininet OpenFlow Controller Python Script &amp; Topology Map</t>
        </is>
      </c>
      <c r="M6" s="17" t="inlineStr">
        <is>
          <t>Working Mininet traffic redirection script verified</t>
        </is>
      </c>
      <c r="N6" s="16" t="inlineStr">
        <is>
          <t>Not Started</t>
        </is>
      </c>
      <c r="O6" s="17" t="inlineStr"/>
    </row>
    <row r="7">
      <c r="A7" s="12" t="n">
        <v>4</v>
      </c>
      <c r="B7" s="12" t="inlineStr">
        <is>
          <t>Month 1 - W4</t>
        </is>
      </c>
      <c r="C7" s="13" t="inlineStr">
        <is>
          <t>Level 1/4: Wireless &amp; IoT</t>
        </is>
      </c>
      <c r="D7" s="13" t="inlineStr">
        <is>
          <t>Cellular Data, MQTT, CoAP &amp; Time-Sensitive Networking</t>
        </is>
      </c>
      <c r="E7" s="13" t="inlineStr">
        <is>
          <t>Evaluate constrained application protocols (MQTT vs CoAP vs HTTP/2), QoS levels, and cellular wireless links (4G/5G NR).</t>
        </is>
      </c>
      <c r="F7" s="13" t="inlineStr">
        <is>
          <t>Curtin Univ IoT (edX Free Audit)</t>
        </is>
      </c>
      <c r="G7" s="13" t="inlineStr">
        <is>
          <t>OASIS MQTT v5.0 Open Specification Guide</t>
        </is>
      </c>
      <c r="H7" s="13" t="inlineStr">
        <is>
          <t>Al-Fuqaha et al. (2015) 'Internet of Things: A Survey on Enabling Technologies, Protocols, and Applications' (Open Access)</t>
        </is>
      </c>
      <c r="I7" s="13" t="inlineStr">
        <is>
          <t>Protocol Benchmarking: Deploy EMQX/Mosquitto broker and publish 1,000 telemetry messages under MQTT QoS 0, 1, 2.</t>
        </is>
      </c>
      <c r="J7" s="13" t="inlineStr">
        <is>
          <t>Month 1 Milestone Synthesis: Compile Level 0-1 insights into a comprehensive Edge Networking Architecture Reference.</t>
        </is>
      </c>
      <c r="K7" s="35" t="n">
        <v>9</v>
      </c>
      <c r="L7" s="37" t="inlineStr">
        <is>
          <t>Month 1 Milestone: Edge Protocols &amp; Networking Whitepaper</t>
        </is>
      </c>
      <c r="M7" s="13" t="inlineStr">
        <is>
          <t>MQTT QoS latency benchmark chart + Month 1 Milestone delivered</t>
        </is>
      </c>
      <c r="N7" s="12" t="inlineStr">
        <is>
          <t>Not Started</t>
        </is>
      </c>
      <c r="O7" s="13" t="inlineStr"/>
    </row>
    <row r="8">
      <c r="A8" s="16" t="n">
        <v>5</v>
      </c>
      <c r="B8" s="16" t="inlineStr">
        <is>
          <t>Month 2 - W5</t>
        </is>
      </c>
      <c r="C8" s="17" t="inlineStr">
        <is>
          <t>Level 2: Dist Systems</t>
        </is>
      </c>
      <c r="D8" s="17" t="inlineStr">
        <is>
          <t>Distributed Processes, RPC &amp; Logical Clocks</t>
        </is>
      </c>
      <c r="E8" s="17" t="inlineStr">
        <is>
          <t>Master RPC mechanisms (gRPC), process failure models, Lamport timestamps, and Vector clocks in decentralized systems.</t>
        </is>
      </c>
      <c r="F8" s="17" t="inlineStr">
        <is>
          <t>MIT 6.824: Distributed Systems (Free CSAIL Lectures 1-3 &amp; Lab 1)</t>
        </is>
      </c>
      <c r="G8" s="17" t="inlineStr">
        <is>
          <t>Martin Kleppmann Free Distributed Systems Series</t>
        </is>
      </c>
      <c r="H8" s="17" t="inlineStr">
        <is>
          <t>Lamport (1978) 'Time, Clocks, and the Ordering of Events in a Distributed System' (Open CACM)</t>
        </is>
      </c>
      <c r="I8" s="17" t="inlineStr">
        <is>
          <t>Go / Python Lab: Implement a multi-threaded RPC client-server application with logical clock timestamp tracking.</t>
        </is>
      </c>
      <c r="J8" s="17" t="inlineStr">
        <is>
          <t>Paper Deconstruction: Analyze Lamport's partial ordering proofs and explain why clock synchronization fails across edge nodes.</t>
        </is>
      </c>
      <c r="K8" s="32" t="n">
        <v>8.5</v>
      </c>
      <c r="L8" s="37" t="inlineStr">
        <is>
          <t>Working RPC &amp; Vector Clock Python/Go Implementation</t>
        </is>
      </c>
      <c r="M8" s="17" t="inlineStr">
        <is>
          <t>Working code repository + Lamport proof breakdown completed</t>
        </is>
      </c>
      <c r="N8" s="16" t="inlineStr">
        <is>
          <t>Not Started</t>
        </is>
      </c>
      <c r="O8" s="17" t="inlineStr"/>
    </row>
    <row r="9">
      <c r="A9" s="12" t="n">
        <v>6</v>
      </c>
      <c r="B9" s="12" t="inlineStr">
        <is>
          <t>Month 2 - W6</t>
        </is>
      </c>
      <c r="C9" s="13" t="inlineStr">
        <is>
          <t>Level 2: Dist Systems</t>
        </is>
      </c>
      <c r="D9" s="13" t="inlineStr">
        <is>
          <t>Consistency Models, Replication &amp; CAP Theorem</t>
        </is>
      </c>
      <c r="E9" s="13" t="inlineStr">
        <is>
          <t>Deep dive into Strong Consistency vs Eventual Consistency, Linearizability, Session Guarantees, and PACELC theorem.</t>
        </is>
      </c>
      <c r="F9" s="13" t="inlineStr">
        <is>
          <t>MIT 6.824 (Free Lectures 4-6: GFS &amp; Replication)</t>
        </is>
      </c>
      <c r="G9" s="13" t="inlineStr">
        <is>
          <t>Kleppmann Cambridge Lectures on Consistency &amp; Replication</t>
        </is>
      </c>
      <c r="H9" s="13" t="inlineStr">
        <is>
          <t>Vogels (2009) 'Eventually Consistent' (Open Access) + Gilbert &amp; Lynch CAP Proof</t>
        </is>
      </c>
      <c r="I9" s="13" t="inlineStr">
        <is>
          <t>Database Replication Lab: Configure a 3-node Redis/etcd replica set and observe behavior during simulated network partitions.</t>
        </is>
      </c>
      <c r="J9" s="13" t="inlineStr">
        <is>
          <t>Research Question Formulation: Draft 2 research questions exploring consistency vs latency trade-offs at the edge.</t>
        </is>
      </c>
      <c r="K9" s="35" t="n">
        <v>8.5</v>
      </c>
      <c r="L9" s="37" t="inlineStr">
        <is>
          <t>Consistency &amp; Partition Tolerance Empirical Analysis</t>
        </is>
      </c>
      <c r="M9" s="13" t="inlineStr">
        <is>
          <t>Redis partition test results + 2 PhD-level RQs formulated</t>
        </is>
      </c>
      <c r="N9" s="12" t="inlineStr">
        <is>
          <t>Not Started</t>
        </is>
      </c>
      <c r="O9" s="13" t="inlineStr"/>
    </row>
    <row r="10">
      <c r="A10" s="16" t="n">
        <v>7</v>
      </c>
      <c r="B10" s="16" t="inlineStr">
        <is>
          <t>Month 2 - W7</t>
        </is>
      </c>
      <c r="C10" s="17" t="inlineStr">
        <is>
          <t>Level 2: Dist Systems</t>
        </is>
      </c>
      <c r="D10" s="17" t="inlineStr">
        <is>
          <t>Distributed Consensus: Paxos &amp; Raft Frameworks</t>
        </is>
      </c>
      <c r="E10" s="17" t="inlineStr">
        <is>
          <t>Understand state machine replication, leader election, log replication, safety invariants, and joint consensus in Raft.</t>
        </is>
      </c>
      <c r="F10" s="17" t="inlineStr">
        <is>
          <t>MIT 6.824 (Free Lectures 7-8: Raft Consensus &amp; Lab 2A)</t>
        </is>
      </c>
      <c r="G10" s="17" t="inlineStr">
        <is>
          <t>Ongaro &amp; Ousterhout Raft Interactive Visualization (Free)</t>
        </is>
      </c>
      <c r="H10" s="17" t="inlineStr">
        <is>
          <t>Ongaro &amp; Ousterhout (2014) 'In Search of an Understandable Consensus Algorithm' (Open USENIX ATC)</t>
        </is>
      </c>
      <c r="I10" s="17" t="inlineStr">
        <is>
          <t>Raft Implementation Lab: Implement or step through leader election and heartbeat timeouts in Go/Python.</t>
        </is>
      </c>
      <c r="J10" s="17" t="inlineStr">
        <is>
          <t>Comparative Analysis: Compare Raft message complexity vs Byzantine Fault Tolerance (BFT) in resource-limited edge nodes.</t>
        </is>
      </c>
      <c r="K10" s="32" t="n">
        <v>9</v>
      </c>
      <c r="L10" s="37" t="inlineStr">
        <is>
          <t>Raft Leader Election Prototype &amp; Complexity Comparison</t>
        </is>
      </c>
      <c r="M10" s="17" t="inlineStr">
        <is>
          <t>Raft state machine unit tests passing + complexity table written</t>
        </is>
      </c>
      <c r="N10" s="16" t="inlineStr">
        <is>
          <t>Not Started</t>
        </is>
      </c>
      <c r="O10" s="17" t="inlineStr"/>
    </row>
    <row r="11">
      <c r="A11" s="12" t="n">
        <v>8</v>
      </c>
      <c r="B11" s="12" t="inlineStr">
        <is>
          <t>Month 2 - W8</t>
        </is>
      </c>
      <c r="C11" s="13" t="inlineStr">
        <is>
          <t>Level 2: Dist Systems</t>
        </is>
      </c>
      <c r="D11" s="13" t="inlineStr">
        <is>
          <t>Distributed Storage, Fault Tolerance &amp; Edge State</t>
        </is>
      </c>
      <c r="E11" s="13" t="inlineStr">
        <is>
          <t>Examine sharding, consistent hashing, CRDTs (Conflict-free Replicated Data Types), and failure recovery mechanisms.</t>
        </is>
      </c>
      <c r="F11" s="13" t="inlineStr">
        <is>
          <t>MIT 6.824 (Free Lectures 9-11: Sharding &amp; Fault Tolerance)</t>
        </is>
      </c>
      <c r="G11" s="13" t="inlineStr">
        <is>
          <t>Kleppmann Cambridge Lectures on CRDTs (Free)</t>
        </is>
      </c>
      <c r="H11" s="13" t="inlineStr">
        <is>
          <t>Shapiro et al. (2011) 'Conflict-Free Replicated Data Types' (Open INRIA)</t>
        </is>
      </c>
      <c r="I11" s="13" t="inlineStr">
        <is>
          <t>CRDT Implementation: Implement an operation-based PN-Counter or G-Set in Python to merge disconnected edge states.</t>
        </is>
      </c>
      <c r="J11" s="13" t="inlineStr">
        <is>
          <t>Month 2 Milestone Synthesis: Write a formal evaluation of distributed consensus feasibility on edge nodes.</t>
        </is>
      </c>
      <c r="K11" s="35" t="n">
        <v>9</v>
      </c>
      <c r="L11" s="37" t="inlineStr">
        <is>
          <t>Month 2 Milestone: Edge Consensus &amp; State Sync Technical Report</t>
        </is>
      </c>
      <c r="M11" s="13" t="inlineStr">
        <is>
          <t>CRDT Python script + Month 2 Milestone report completed</t>
        </is>
      </c>
      <c r="N11" s="12" t="inlineStr">
        <is>
          <t>Not Started</t>
        </is>
      </c>
      <c r="O11" s="13" t="inlineStr"/>
    </row>
    <row r="12">
      <c r="A12" s="16" t="n">
        <v>9</v>
      </c>
      <c r="B12" s="16" t="inlineStr">
        <is>
          <t>Month 3 - W9</t>
        </is>
      </c>
      <c r="C12" s="17" t="inlineStr">
        <is>
          <t>Level 3/5: Containers</t>
        </is>
      </c>
      <c r="D12" s="17" t="inlineStr">
        <is>
          <t>Containerization Internals (cgroups, namespaces, overlayFS)</t>
        </is>
      </c>
      <c r="E12" s="17" t="inlineStr">
        <is>
          <t>Understand OS-level virtualization vs hypervisors, container security isolation, and memory/CPU limits on edge devices.</t>
        </is>
      </c>
      <c r="F12" s="17" t="inlineStr">
        <is>
          <t>Linux Containers from Scratch (Liz Rice Open Code &amp; Tutorial)</t>
        </is>
      </c>
      <c r="G12" s="17" t="inlineStr">
        <is>
          <t>Linux Kernel Documentation on cgroups v2 (Free)</t>
        </is>
      </c>
      <c r="H12" s="17" t="inlineStr">
        <is>
          <t>Felter et al. (2015) 'An Updated Performance Comparison of Virtual Machines and Linux Containers' (Open Access)</t>
        </is>
      </c>
      <c r="I12" s="17" t="inlineStr">
        <is>
          <t>Container Internals Lab: Manually create an isolated process container using Linux `unshare`, `chroot`, and `cgroups`.</t>
        </is>
      </c>
      <c r="J12" s="17" t="inlineStr">
        <is>
          <t>Benchmarking Methodology: Measure cold-start time and memory footprint of Docker vs microVM (Firecracker).</t>
        </is>
      </c>
      <c r="K12" s="32" t="n">
        <v>8.5</v>
      </c>
      <c r="L12" s="37" t="inlineStr">
        <is>
          <t>Container vs VM Virtualization Benchmark Report</t>
        </is>
      </c>
      <c r="M12" s="17" t="inlineStr">
        <is>
          <t>Linux cgroup isolation lab verified + benchmark report logged</t>
        </is>
      </c>
      <c r="N12" s="16" t="inlineStr">
        <is>
          <t>Not Started</t>
        </is>
      </c>
      <c r="O12" s="17" t="inlineStr"/>
    </row>
    <row r="13">
      <c r="A13" s="12" t="n">
        <v>10</v>
      </c>
      <c r="B13" s="12" t="inlineStr">
        <is>
          <t>Month 3 - W10</t>
        </is>
      </c>
      <c r="C13" s="13" t="inlineStr">
        <is>
          <t>Level 5/6: K8s / K3s</t>
        </is>
      </c>
      <c r="D13" s="13" t="inlineStr">
        <is>
          <t>Edge Kubernetes &amp; Lightweight Cluster Orchestration</t>
        </is>
      </c>
      <c r="E13" s="13" t="inlineStr">
        <is>
          <t>Deploy lightweight Kubernetes (K3s, KubeEdge) and study edge node autonomy, pod scheduling, and worker detachment.</t>
        </is>
      </c>
      <c r="F13" s="13" t="inlineStr">
        <is>
          <t>LFS156x: Intro to Kubernetes on Edge with K3s (edX Free Audit)</t>
        </is>
      </c>
      <c r="G13" s="13" t="inlineStr">
        <is>
          <t>KubeEdge Official Open Architecture Documentation</t>
        </is>
      </c>
      <c r="H13" s="13" t="inlineStr">
        <is>
          <t>Xiong et al. (2018) 'Extend Cloud to Edge with KubeEdge' (Open Access)</t>
        </is>
      </c>
      <c r="I13" s="13" t="inlineStr">
        <is>
          <t>K3s Cluster Lab: Deploy a 2-node K3s cluster (1 control plane, 1 edge agent) using VMs or Raspberry Pis.</t>
        </is>
      </c>
      <c r="J13" s="13" t="inlineStr">
        <is>
          <t>Scheduling Analysis: Evaluate how K8s default scheduler behaves when edge nodes experience intermittent disconnects.</t>
        </is>
      </c>
      <c r="K13" s="35" t="n">
        <v>9</v>
      </c>
      <c r="L13" s="37" t="inlineStr">
        <is>
          <t>Running Multi-Node K3s Cluster &amp; Deployment Manifests</t>
        </is>
      </c>
      <c r="M13" s="13" t="inlineStr">
        <is>
          <t>Functional K3s edge cluster + deployment YAMLs validated</t>
        </is>
      </c>
      <c r="N13" s="12" t="inlineStr">
        <is>
          <t>Not Started</t>
        </is>
      </c>
      <c r="O13" s="13" t="inlineStr"/>
    </row>
    <row r="14">
      <c r="A14" s="16" t="n">
        <v>11</v>
      </c>
      <c r="B14" s="16" t="inlineStr">
        <is>
          <t>Month 3 - W11</t>
        </is>
      </c>
      <c r="C14" s="17" t="inlineStr">
        <is>
          <t>Level 6: Serverless</t>
        </is>
      </c>
      <c r="D14" s="17" t="inlineStr">
        <is>
          <t>Edge Serverless, FaaS Runtimes &amp; Cold-Start Latency</t>
        </is>
      </c>
      <c r="E14" s="17" t="inlineStr">
        <is>
          <t>Investigate Function-as-a-Service (FaaS) models at the edge (OpenFaaS, Knative), event-driven execution, and cold-start mitigations.</t>
        </is>
      </c>
      <c r="F14" s="17" t="inlineStr">
        <is>
          <t>ServerlessLand Open Guides &amp; Architecture Patterns</t>
        </is>
      </c>
      <c r="G14" s="17" t="inlineStr">
        <is>
          <t>OpenFaaS Open Source Workshop Docs</t>
        </is>
      </c>
      <c r="H14" s="17" t="inlineStr">
        <is>
          <t>Li et al. (2022) 'Serverless Computing on Gaussion Edge: A Survey' (Open Access arXiv)</t>
        </is>
      </c>
      <c r="I14" s="17" t="inlineStr">
        <is>
          <t>Serverless Edge Deployment: Deploy OpenFaaS on K3s and benchmark execution latency of Python functions under warm vs cold starts.</t>
        </is>
      </c>
      <c r="J14" s="17" t="inlineStr">
        <is>
          <t>Literature Gap Identification: Identify 3 unaddressed challenges in Edge Serverless function pre-warming.</t>
        </is>
      </c>
      <c r="K14" s="32" t="n">
        <v>8.5</v>
      </c>
      <c r="L14" s="37" t="inlineStr">
        <is>
          <t>OpenFaaS Function Benchmark &amp; Cold-Start Analysis</t>
        </is>
      </c>
      <c r="M14" s="17" t="inlineStr">
        <is>
          <t>OpenFaaS invocation latency curves + 3 research gaps documented</t>
        </is>
      </c>
      <c r="N14" s="16" t="inlineStr">
        <is>
          <t>Not Started</t>
        </is>
      </c>
      <c r="O14" s="17" t="inlineStr"/>
    </row>
    <row r="15">
      <c r="A15" s="12" t="n">
        <v>12</v>
      </c>
      <c r="B15" s="12" t="inlineStr">
        <is>
          <t>Month 3 - W12</t>
        </is>
      </c>
      <c r="C15" s="13" t="inlineStr">
        <is>
          <t>Level 7: Edge Core</t>
        </is>
      </c>
      <c r="D15" s="13" t="inlineStr">
        <is>
          <t>Edge-Cloud Collaboration, Hierarchical Topology &amp; Orchestration</t>
        </is>
      </c>
      <c r="E15" s="13" t="inlineStr">
        <is>
          <t>Synthesize hierarchical edge-fog-cloud architectures, service placement strategies, and edge resource registries.</t>
        </is>
      </c>
      <c r="F15" s="13" t="inlineStr">
        <is>
          <t>Cloudbus Open Papers &amp; Fog Paradigms (Prof. Buyya)</t>
        </is>
      </c>
      <c r="G15" s="13" t="inlineStr">
        <is>
          <t>ETSI MEC Open Architecture Spec GS MEC 003</t>
        </is>
      </c>
      <c r="H15" s="13" t="inlineStr">
        <is>
          <t>Mao et al. (2017) 'A Survey on Mobile Edge Computing: The Communication Perspective' (Open Access)</t>
        </is>
      </c>
      <c r="I15" s="13" t="inlineStr">
        <is>
          <t>Topology Modeling: Design an end-to-end multi-tier simulation architecture in Python for IoT sensor-to-edge-to-cloud dataflow.</t>
        </is>
      </c>
      <c r="J15" s="13" t="inlineStr">
        <is>
          <t>Month 3 Milestone Synthesis: Write a comprehensive systems review on Edge Container Orchestration trade-offs.</t>
        </is>
      </c>
      <c r="K15" s="35" t="n">
        <v>9.5</v>
      </c>
      <c r="L15" s="37" t="inlineStr">
        <is>
          <t>Month 3 Milestone: Cloud-Native Edge Systems &amp; Orchestration Survey</t>
        </is>
      </c>
      <c r="M15" s="13" t="inlineStr">
        <is>
          <t>Full multi-tier topology script + Month 3 Milestone delivered</t>
        </is>
      </c>
      <c r="N15" s="12" t="inlineStr">
        <is>
          <t>Not Started</t>
        </is>
      </c>
      <c r="O15" s="13" t="inlineStr"/>
    </row>
    <row r="16">
      <c r="A16" s="16" t="n">
        <v>13</v>
      </c>
      <c r="B16" s="16" t="inlineStr">
        <is>
          <t>Month 4 - W13</t>
        </is>
      </c>
      <c r="C16" s="17" t="inlineStr">
        <is>
          <t>Level 8: 5G/6G &amp; MEC</t>
        </is>
      </c>
      <c r="D16" s="17" t="inlineStr">
        <is>
          <t>5G Core Architecture, Service-Based Architecture &amp; Network Slicing</t>
        </is>
      </c>
      <c r="E16" s="17" t="inlineStr">
        <is>
          <t>Deconstruct 5G SBA, UPF (User Plane Function) placement, URLLC requirements, and ETSI MEC API integration.</t>
        </is>
      </c>
      <c r="F16" s="17" t="inlineStr">
        <is>
          <t>EURECOM 5G Network Architecture (Coursera Free Audit)</t>
        </is>
      </c>
      <c r="G16" s="17" t="inlineStr">
        <is>
          <t>ETSI GS MEC 003 / 3GPP TS 23.501 Open Standards</t>
        </is>
      </c>
      <c r="H16" s="17" t="inlineStr">
        <is>
          <t>Taleb et al. (2017) 'On Multi-Access Edge Computing: A Survey on the 5G Network Edge' (Open Access)</t>
        </is>
      </c>
      <c r="I16" s="17" t="inlineStr">
        <is>
          <t>5G Slicing Simulation: Simulate an end-to-end URLLC slice vs eMBB slice bandwidth/latency profile using Python/Simu5G.</t>
        </is>
      </c>
      <c r="J16" s="17" t="inlineStr">
        <is>
          <t>Standard Analysis: Trace how ETSI MEC User App Proxy interfaces with 3GPP NEF (Network Exposure Function).</t>
        </is>
      </c>
      <c r="K16" s="32" t="n">
        <v>8.5</v>
      </c>
      <c r="L16" s="37" t="inlineStr">
        <is>
          <t>5G Network Slicing &amp; UPF Placement Case Study</t>
        </is>
      </c>
      <c r="M16" s="17" t="inlineStr">
        <is>
          <t>5G slice simulation plots + ETSI-3GPP mapping document</t>
        </is>
      </c>
      <c r="N16" s="16" t="inlineStr">
        <is>
          <t>Not Started</t>
        </is>
      </c>
      <c r="O16" s="17" t="inlineStr"/>
    </row>
    <row r="17">
      <c r="A17" s="12" t="n">
        <v>14</v>
      </c>
      <c r="B17" s="12" t="inlineStr">
        <is>
          <t>Month 4 - W14</t>
        </is>
      </c>
      <c r="C17" s="13" t="inlineStr">
        <is>
          <t>Level 8: 6G &amp; V2X</t>
        </is>
      </c>
      <c r="D17" s="13" t="inlineStr">
        <is>
          <t>6G Vision, Terahertz, Ultra-Low Latency &amp; Connected Vehicles</t>
        </is>
      </c>
      <c r="E17" s="13" t="inlineStr">
        <is>
          <t>Explore 6G drivers: Integrated Sensing &amp; Communication (ISAC), sub-millisecond tactile internet, and high-mobility V2X.</t>
        </is>
      </c>
      <c r="F17" s="13" t="inlineStr">
        <is>
          <t>University of Oulu 6G Flagship Open Whitepapers &amp; Videos</t>
        </is>
      </c>
      <c r="G17" s="13" t="inlineStr">
        <is>
          <t>IEEE ComSoc V2X Open Overviews</t>
        </is>
      </c>
      <c r="H17" s="13" t="inlineStr">
        <is>
          <t>Saad, Bennis &amp; Chen (2020) 'A Vision of 6G Wireless Systems' (Open Access arXiv)</t>
        </is>
      </c>
      <c r="I17" s="13" t="inlineStr">
        <is>
          <t>V2X Mobility Modeling: Implement a vehicular edge offloading trajectory model calculating handover frequencies.</t>
        </is>
      </c>
      <c r="J17" s="13" t="inlineStr">
        <is>
          <t>Research Question Synthesis: Formulate a PhD research hypothesis on predictive computation offloading for high-speed V2X.</t>
        </is>
      </c>
      <c r="K17" s="35" t="n">
        <v>8.5</v>
      </c>
      <c r="L17" s="37" t="inlineStr">
        <is>
          <t>Vehicular Edge Handover Simulation &amp; PhD Hypothesis</t>
        </is>
      </c>
      <c r="M17" s="13" t="inlineStr">
        <is>
          <t>Python trajectory code + formal PhD hypothesis statement</t>
        </is>
      </c>
      <c r="N17" s="12" t="inlineStr">
        <is>
          <t>Not Started</t>
        </is>
      </c>
      <c r="O17" s="13" t="inlineStr"/>
    </row>
    <row r="18">
      <c r="A18" s="16" t="n">
        <v>15</v>
      </c>
      <c r="B18" s="16" t="inlineStr">
        <is>
          <t>Month 4 - W15</t>
        </is>
      </c>
      <c r="C18" s="17" t="inlineStr">
        <is>
          <t>Level 7/10: Offloading</t>
        </is>
      </c>
      <c r="D18" s="17" t="inlineStr">
        <is>
          <t>Computation Offloading Frameworks &amp; Decision Models</t>
        </is>
      </c>
      <c r="E18" s="17" t="inlineStr">
        <is>
          <t>Formulate binary offloading (0-1) vs partial offloading (DAG task graph), energy consumption models, and latency trade-offs.</t>
        </is>
      </c>
      <c r="F18" s="17" t="inlineStr">
        <is>
          <t>Mach &amp; Becvar (2017) 'Mobile Edge Computing: A Survey' (Open Access)</t>
        </is>
      </c>
      <c r="G18" s="17" t="inlineStr">
        <is>
          <t>Boyd EE364a Convex Optimization Book (Free PDF)</t>
        </is>
      </c>
      <c r="H18" s="17" t="inlineStr">
        <is>
          <t>Deng et al. (2020) 'Computation Offloading in Mobile Edge Computing: A Survey' (Open Access IEEE)</t>
        </is>
      </c>
      <c r="I18" s="17" t="inlineStr">
        <is>
          <t>Offloading Formulation: Formulate the mathematical optimization problem minimizing total energy subject to strict latency deadlines.</t>
        </is>
      </c>
      <c r="J18" s="17" t="inlineStr">
        <is>
          <t>Analytical Modeling: Prove NP-hardness for multi-user multi-server discrete task placement.</t>
        </is>
      </c>
      <c r="K18" s="32" t="n">
        <v>9</v>
      </c>
      <c r="L18" s="37" t="inlineStr">
        <is>
          <t>Formal Mathematical Formulation of Edge Offloading Optimization</t>
        </is>
      </c>
      <c r="M18" s="17" t="inlineStr">
        <is>
          <t>LaTeX formulation document + NP-hardness reduction proof</t>
        </is>
      </c>
      <c r="N18" s="16" t="inlineStr">
        <is>
          <t>Not Started</t>
        </is>
      </c>
      <c r="O18" s="17" t="inlineStr"/>
    </row>
    <row r="19">
      <c r="A19" s="12" t="n">
        <v>16</v>
      </c>
      <c r="B19" s="12" t="inlineStr">
        <is>
          <t>Month 4 - W16</t>
        </is>
      </c>
      <c r="C19" s="13" t="inlineStr">
        <is>
          <t>Level 10: Optimization</t>
        </is>
      </c>
      <c r="D19" s="13" t="inlineStr">
        <is>
          <t>Convex Optimization, Linear Programming &amp; CVXPY Implementation</t>
        </is>
      </c>
      <c r="E19" s="13" t="inlineStr">
        <is>
          <t>Solve continuous resource allocation problems using convex optimization, Lagrange multipliers, KKT conditions, and CVXPY.</t>
        </is>
      </c>
      <c r="F19" s="13" t="inlineStr">
        <is>
          <t>Stanford EE364a: Convex Optimization I (Free OpenCourseWare &amp; Book)</t>
        </is>
      </c>
      <c r="G19" s="13" t="inlineStr">
        <is>
          <t>CVXPY Official Open Tutorials &amp; Docs</t>
        </is>
      </c>
      <c r="H19" s="13" t="inlineStr">
        <is>
          <t>Boyd &amp; Vandenberghe 'Convex Optimization' (Free Stanford PDF Ch. 1-5)</t>
        </is>
      </c>
      <c r="I19" s="13" t="inlineStr">
        <is>
          <t>Optimization Coding Lab: Write a Python CVXPY script to solve optimal CPU frequency scaling and bandwidth allocation for 10 devices.</t>
        </is>
      </c>
      <c r="J19" s="13" t="inlineStr">
        <is>
          <t>Month 4 Milestone Synthesis: Create an optimization benchmarking suite comparing Local vs Edge vs Cloud execution costs.</t>
        </is>
      </c>
      <c r="K19" s="35" t="n">
        <v>9.5</v>
      </c>
      <c r="L19" s="37" t="inlineStr">
        <is>
          <t>Month 4 Milestone: Edge Resource Optimization Code &amp; Technical Report</t>
        </is>
      </c>
      <c r="M19" s="13" t="inlineStr">
        <is>
          <t>Verified CVXPY optimization script + Month 4 Milestone paper</t>
        </is>
      </c>
      <c r="N19" s="12" t="inlineStr">
        <is>
          <t>Not Started</t>
        </is>
      </c>
      <c r="O19" s="13" t="inlineStr"/>
    </row>
    <row r="20">
      <c r="A20" s="16" t="n">
        <v>17</v>
      </c>
      <c r="B20" s="16" t="inlineStr">
        <is>
          <t>Month 5 - W17</t>
        </is>
      </c>
      <c r="C20" s="17" t="inlineStr">
        <is>
          <t>Level 9: Edge AI</t>
        </is>
      </c>
      <c r="D20" s="17" t="inlineStr">
        <is>
          <t>Edge Intelligence Taxonomy, Model Pruning &amp; Quantization</t>
        </is>
      </c>
      <c r="E20" s="17" t="inlineStr">
        <is>
          <t>Differentiate AI for Edge vs Edge for AI; master post-training quantization (INT8, FP16), weight pruning, and knowledge distillation.</t>
        </is>
      </c>
      <c r="F20" s="17" t="inlineStr">
        <is>
          <t>Harvard TinyML OpenCourseWare (tinyml.seas.harvard.edu)</t>
        </is>
      </c>
      <c r="G20" s="17" t="inlineStr">
        <is>
          <t>TensorFlow Model Optimization Open Guides</t>
        </is>
      </c>
      <c r="H20" s="17" t="inlineStr">
        <is>
          <t>Zhou et al. (2019) 'Edge Intelligence: Paving the Last Mile of AI' (Open Access arXiv)</t>
        </is>
      </c>
      <c r="I20" s="17" t="inlineStr">
        <is>
          <t>Model Compression Lab: Quantize a ResNet/MobileNet model to INT8 using PyTorch/TFLite and measure inference speedup vs accuracy drop.</t>
        </is>
      </c>
      <c r="J20" s="17" t="inlineStr">
        <is>
          <t>Paper Deconstruction: Analyze the computational complexity vs memory footprint trade-offs across 5 Edge AI papers.</t>
        </is>
      </c>
      <c r="K20" s="32" t="n">
        <v>8.5</v>
      </c>
      <c r="L20" s="37" t="inlineStr">
        <is>
          <t>Quantized Neural Network Benchmark &amp; Accuracy Report</t>
        </is>
      </c>
      <c r="M20" s="17" t="inlineStr">
        <is>
          <t>Compressed PyTorch model + latency/accuracy comparison table</t>
        </is>
      </c>
      <c r="N20" s="16" t="inlineStr">
        <is>
          <t>Not Started</t>
        </is>
      </c>
      <c r="O20" s="17" t="inlineStr"/>
    </row>
    <row r="21">
      <c r="A21" s="12" t="n">
        <v>18</v>
      </c>
      <c r="B21" s="12" t="inlineStr">
        <is>
          <t>Month 5 - W18</t>
        </is>
      </c>
      <c r="C21" s="13" t="inlineStr">
        <is>
          <t>Level 9: TinyML</t>
        </is>
      </c>
      <c r="D21" s="13" t="inlineStr">
        <is>
          <t>TinyML Deployments &amp; On-Device Neural Inference</t>
        </is>
      </c>
      <c r="E21" s="13" t="inlineStr">
        <is>
          <t>Study microcontroller constraints (SRAM &lt; 256KB, Flash &lt; 1MB), embedded inference engines (TFLite Micro, ONNX Runtime, TVM).</t>
        </is>
      </c>
      <c r="F21" s="13" t="inlineStr">
        <is>
          <t>Harvard Edge AI Open Textbook &amp; Code</t>
        </is>
      </c>
      <c r="G21" s="13" t="inlineStr">
        <is>
          <t>Edge Impulse Open Documentation</t>
        </is>
      </c>
      <c r="H21" s="13" t="inlineStr">
        <is>
          <t>Ray (2021) 'A Review on TinyML: State-of-the-Art and Future Directions' (Open Access)</t>
        </is>
      </c>
      <c r="I21" s="13" t="inlineStr">
        <is>
          <t>Embedded Inference Lab: Deploy an audio keyword spotting or gesture recognition model on simulated embedded hardware.</t>
        </is>
      </c>
      <c r="J21" s="13" t="inlineStr">
        <is>
          <t>Experimental Design: Structure an experiment measuring energy per inference (Joules) across varying quantization levels.</t>
        </is>
      </c>
      <c r="K21" s="35" t="n">
        <v>8.5</v>
      </c>
      <c r="L21" s="37" t="inlineStr">
        <is>
          <t>Embedded TinyML Inference Pipeline &amp; Energy Log</t>
        </is>
      </c>
      <c r="M21" s="13" t="inlineStr">
        <is>
          <t>Functional TFLite Micro inference script + energy profiling log</t>
        </is>
      </c>
      <c r="N21" s="12" t="inlineStr">
        <is>
          <t>Not Started</t>
        </is>
      </c>
      <c r="O21" s="13" t="inlineStr"/>
    </row>
    <row r="22">
      <c r="A22" s="16" t="n">
        <v>19</v>
      </c>
      <c r="B22" s="16" t="inlineStr">
        <is>
          <t>Month 5 - W19</t>
        </is>
      </c>
      <c r="C22" s="17" t="inlineStr">
        <is>
          <t>Level 9: Federated AI</t>
        </is>
      </c>
      <c r="D22" s="17" t="inlineStr">
        <is>
          <t>Federated Learning (FedAvg), Non-IID Data &amp; Communication Efficiency</t>
        </is>
      </c>
      <c r="E22" s="17" t="inlineStr">
        <is>
          <t>Master decentralized ML: local training, gradient aggregation, FedAvg algorithm, client drift with non-IID data, and gradient compression.</t>
        </is>
      </c>
      <c r="F22" s="17" t="inlineStr">
        <is>
          <t>Flower.ai Open Framework Tutorials &amp; Quickstart</t>
        </is>
      </c>
      <c r="G22" s="17" t="inlineStr">
        <is>
          <t>McMahan et al. FedAvg Open Access Paper (arXiv)</t>
        </is>
      </c>
      <c r="H22" s="17" t="inlineStr">
        <is>
          <t>McMahan et al. (2017) 'Communication-Efficient Learning of Deep Networks' (Open Access arXiv)</t>
        </is>
      </c>
      <c r="I22" s="17" t="inlineStr">
        <is>
          <t>Federated Learning Lab: Build a 5-client Federated Learning simulation in Flower/PyTorch under Non-IID Dirichlet label skew.</t>
        </is>
      </c>
      <c r="J22" s="17" t="inlineStr">
        <is>
          <t>Methodology Critique: Evaluate why standard FedAvg degrades under extreme statistical heterogeneity.</t>
        </is>
      </c>
      <c r="K22" s="32" t="n">
        <v>9</v>
      </c>
      <c r="L22" s="37" t="inlineStr">
        <is>
          <t>5-Node Federated Learning Simulation Script &amp; Convergence Curves</t>
        </is>
      </c>
      <c r="M22" s="17" t="inlineStr">
        <is>
          <t>Working Flower/PyTorch FL simulation code + convergence graphs</t>
        </is>
      </c>
      <c r="N22" s="16" t="inlineStr">
        <is>
          <t>Not Started</t>
        </is>
      </c>
      <c r="O22" s="17" t="inlineStr"/>
    </row>
    <row r="23">
      <c r="A23" s="12" t="n">
        <v>20</v>
      </c>
      <c r="B23" s="12" t="inlineStr">
        <is>
          <t>Month 5 - W20</t>
        </is>
      </c>
      <c r="C23" s="13" t="inlineStr">
        <is>
          <t>Level 11: Security</t>
        </is>
      </c>
      <c r="D23" s="13" t="inlineStr">
        <is>
          <t>Edge Security, Trusted Execution Environments (TEEs) &amp; FL Privacy</t>
        </is>
      </c>
      <c r="E23" s="13" t="inlineStr">
        <is>
          <t>Investigate edge attack surfaces, ARM TrustZone hardware enclaves, Differential Privacy in FL, and poisoning attack vectors.</t>
        </is>
      </c>
      <c r="F23" s="13" t="inlineStr">
        <is>
          <t>Stanford CS255: Cryptography &amp; Security (Free OpenCourseWare)</t>
        </is>
      </c>
      <c r="G23" s="13" t="inlineStr">
        <is>
          <t>OpenEnclave / ARM TrustZone Open Whitepapers</t>
        </is>
      </c>
      <c r="H23" s="13" t="inlineStr">
        <is>
          <t>Kairouz et al. (2021) 'Advances and Open Problems in Federated Learning' (Open Access arXiv)</t>
        </is>
      </c>
      <c r="I23" s="13" t="inlineStr">
        <is>
          <t>Privacy Lab: Implement Differential Privacy (DP-SGD) with gradient clipping and Laplace noise in PyTorch/Opacus.</t>
        </is>
      </c>
      <c r="J23" s="13" t="inlineStr">
        <is>
          <t>Month 5 Milestone Synthesis: Write a state-of-the-art survey on Privacy-Preserving Federated Edge Intelligence.</t>
        </is>
      </c>
      <c r="K23" s="35" t="n">
        <v>9.5</v>
      </c>
      <c r="L23" s="37" t="inlineStr">
        <is>
          <t>Month 5 Milestone: Privacy-Preserving Edge AI Comprehensive Survey</t>
        </is>
      </c>
      <c r="M23" s="13" t="inlineStr">
        <is>
          <t>Differential Privacy script + Month 5 Milestone survey paper</t>
        </is>
      </c>
      <c r="N23" s="12" t="inlineStr">
        <is>
          <t>Not Started</t>
        </is>
      </c>
      <c r="O23" s="13" t="inlineStr"/>
    </row>
    <row r="24">
      <c r="A24" s="16" t="n">
        <v>21</v>
      </c>
      <c r="B24" s="16" t="inlineStr">
        <is>
          <t>Month 6 - W21</t>
        </is>
      </c>
      <c r="C24" s="17" t="inlineStr">
        <is>
          <t>Level 12: Simulation</t>
        </is>
      </c>
      <c r="D24" s="17" t="inlineStr">
        <is>
          <t>Discrete-Event Simulation with EdgeCloudSim &amp; ns-3</t>
        </is>
      </c>
      <c r="E24" s="17" t="inlineStr">
        <is>
          <t>Set up and configure EdgeCloudSim and evaluate task generation, network delay models, edge broker scheduling, and VM allocation.</t>
        </is>
      </c>
      <c r="F24" s="17" t="inlineStr">
        <is>
          <t>EdgeCloudSim Open Source GitHub &amp; Guide (Boğaziçi Univ)</t>
        </is>
      </c>
      <c r="G24" s="17" t="inlineStr">
        <is>
          <t>CloudSim Plus Open Source Docs</t>
        </is>
      </c>
      <c r="H24" s="17" t="inlineStr">
        <is>
          <t>Sonmez et al. (2018) 'EdgeCloudSim: Environment for Performance Evaluation' (Open Access)</t>
        </is>
      </c>
      <c r="I24" s="17" t="inlineStr">
        <is>
          <t>Simulator Setup Lab: Install EdgeCloudSim, configure a multi-server edge environment, and execute baseline offloading scenarios.</t>
        </is>
      </c>
      <c r="J24" s="17" t="inlineStr">
        <is>
          <t>Tool Critique: Write a comparative analysis of EdgeCloudSim vs iFogSim vs real-world Kubernetes testbeds.</t>
        </is>
      </c>
      <c r="K24" s="32" t="n">
        <v>9</v>
      </c>
      <c r="L24" s="37" t="inlineStr">
        <is>
          <t>Configured EdgeCloudSim Environment &amp; Baseline Run Data</t>
        </is>
      </c>
      <c r="M24" s="17" t="inlineStr">
        <is>
          <t>Successful execution logs + simulation configuration files</t>
        </is>
      </c>
      <c r="N24" s="16" t="inlineStr">
        <is>
          <t>Not Started</t>
        </is>
      </c>
      <c r="O24" s="17" t="inlineStr"/>
    </row>
    <row r="25">
      <c r="A25" s="12" t="n">
        <v>22</v>
      </c>
      <c r="B25" s="12" t="inlineStr">
        <is>
          <t>Month 6 - W22</t>
        </is>
      </c>
      <c r="C25" s="13" t="inlineStr">
        <is>
          <t>Level 12/14: Capstone I</t>
        </is>
      </c>
      <c r="D25" s="13" t="inlineStr">
        <is>
          <t>Capstone Project: Experimental Design &amp; Benchmark Implementation</t>
        </is>
      </c>
      <c r="E25" s="13" t="inlineStr">
        <is>
          <t>Define the capstone research scenario: Compare Local vs Edge vs Cloud vs Hybrid Adaptive Offloading under variable network load.</t>
        </is>
      </c>
      <c r="F25" s="13" t="inlineStr">
        <is>
          <t>Capstone Research Specification &amp; Open Dataset Traces (CRAWDAD)</t>
        </is>
      </c>
      <c r="G25" s="13" t="inlineStr">
        <is>
          <t>Academic Experimental Guidelines</t>
        </is>
      </c>
      <c r="H25" s="13" t="inlineStr">
        <is>
          <t>Wang et al. (2020) 'Convergence of Edge Computing and Deep Learning' (Open Access arXiv)</t>
        </is>
      </c>
      <c r="I25" s="13" t="inlineStr">
        <is>
          <t>Capstone Simulation Execution: Implement custom offloading decision algorithm in EdgeCloudSim / Python testbed.</t>
        </is>
      </c>
      <c r="J25" s="13" t="inlineStr">
        <is>
          <t>Statistical Analysis: Collect 100+ simulation runs across varying device counts (10 to 100) and packet loss rates (0% to 15%).</t>
        </is>
      </c>
      <c r="K25" s="35" t="n">
        <v>9.5</v>
      </c>
      <c r="L25" s="37" t="inlineStr">
        <is>
          <t>Capstone Experimental Dataset &amp; Preliminary Results Plots</t>
        </is>
      </c>
      <c r="M25" s="13" t="inlineStr">
        <is>
          <t>Clean experimental data CSVs + latency/energy scatter plots</t>
        </is>
      </c>
      <c r="N25" s="12" t="inlineStr">
        <is>
          <t>Not Started</t>
        </is>
      </c>
      <c r="O25" s="13" t="inlineStr"/>
    </row>
    <row r="26">
      <c r="A26" s="16" t="n">
        <v>23</v>
      </c>
      <c r="B26" s="16" t="inlineStr">
        <is>
          <t>Month 6 - W23</t>
        </is>
      </c>
      <c r="C26" s="17" t="inlineStr">
        <is>
          <t>Level 13/14: Capstone II</t>
        </is>
      </c>
      <c r="D26" s="17" t="inlineStr">
        <is>
          <t>Capstone Project: Result Analysis, Data Visualization &amp; LaTeX Paper</t>
        </is>
      </c>
      <c r="E26" s="17" t="inlineStr">
        <is>
          <t>Analyze experimental data, compute 95% confidence intervals, generate publication-grade vector plots, and draft research paper in LaTeX.</t>
        </is>
      </c>
      <c r="F26" s="17" t="inlineStr">
        <is>
          <t>Writing in the Sciences (Stanford Online Coursera Free Audit)</t>
        </is>
      </c>
      <c r="G26" s="17" t="inlineStr">
        <is>
          <t>IEEE Conference LaTeX Template &amp; Overleaf Guides (Free)</t>
        </is>
      </c>
      <c r="H26" s="17" t="inlineStr">
        <is>
          <t>Selected Top-Tier IEEE INFOCOM / SECON / IoT-J Open Paper for structural benchmarking</t>
        </is>
      </c>
      <c r="I26" s="17" t="inlineStr">
        <is>
          <t>LaTeX Authoring: Draft a complete 6-page IEEE format research paper detailing Problem, System Model, Algorithm, and Results.</t>
        </is>
      </c>
      <c r="J26" s="17" t="inlineStr">
        <is>
          <t>Peer Review Simulation: Perform a critical self-review assessing threats to validity, scalability limits, and future work.</t>
        </is>
      </c>
      <c r="K26" s="32" t="n">
        <v>10</v>
      </c>
      <c r="L26" s="37" t="inlineStr">
        <is>
          <t>Draft 6-Page IEEE Format Research Paper (PDF + LaTeX)</t>
        </is>
      </c>
      <c r="M26" s="17" t="inlineStr">
        <is>
          <t>Completed 6-page LaTeX research paper with all vector figures</t>
        </is>
      </c>
      <c r="N26" s="16" t="inlineStr">
        <is>
          <t>Not Started</t>
        </is>
      </c>
      <c r="O26" s="17" t="inlineStr"/>
    </row>
    <row r="27">
      <c r="A27" s="12" t="n">
        <v>24</v>
      </c>
      <c r="B27" s="12" t="inlineStr">
        <is>
          <t>Month 6 - W24</t>
        </is>
      </c>
      <c r="C27" s="13" t="inlineStr">
        <is>
          <t>Level 13: PhD Proposal</t>
        </is>
      </c>
      <c r="D27" s="13" t="inlineStr">
        <is>
          <t>PhD Research Proposal Synthesis &amp; Statement of Purpose Defense</t>
        </is>
      </c>
      <c r="E27" s="13" t="inlineStr">
        <is>
          <t>Synthesize all 6 months of research, formulate a compelling 3-year PhD research proposal, and align with potential faculty advisors.</t>
        </is>
      </c>
      <c r="F27" s="13" t="inlineStr">
        <is>
          <t>University PhD Proposal Guidelines (MIT, Stanford, Cambridge, ETH Zurich)</t>
        </is>
      </c>
      <c r="G27" s="13" t="inlineStr">
        <is>
          <t>Overleaf Open Research Proposal Template</t>
        </is>
      </c>
      <c r="H27" s="13" t="inlineStr">
        <is>
          <t>Seminal &amp; Visionary Open Papers: Satyanarayanan (2017), Shi (2016), Saad (2020)</t>
        </is>
      </c>
      <c r="I27" s="13" t="inlineStr">
        <is>
          <t>Proposal Drafting: Write a comprehensive 5-page PhD Research Proposal containing: Background, Problem Statement, RQs, Proposed Methodology, Timeline.</t>
        </is>
      </c>
      <c r="J27" s="13" t="inlineStr">
        <is>
          <t>Readiness Evaluation: Complete the Sheet 11 PhD Readiness Assessment rubric and compile targeted PhD supervisor outreach list.</t>
        </is>
      </c>
      <c r="K27" s="35" t="n">
        <v>10</v>
      </c>
      <c r="L27" s="37" t="inlineStr">
        <is>
          <t>Final Deliverable: Complete PhD Research Proposal + Target Supervisor Dossier</t>
        </is>
      </c>
      <c r="M27" s="13" t="inlineStr">
        <is>
          <t>Polished PhD Proposal PDF + completed Readiness Assessment</t>
        </is>
      </c>
      <c r="N27" s="12" t="inlineStr">
        <is>
          <t>Not Started</t>
        </is>
      </c>
      <c r="O27" s="13" t="inlineStr"/>
    </row>
  </sheetData>
  <mergeCells count="1">
    <mergeCell ref="A1:O2"/>
  </mergeCells>
  <conditionalFormatting sqref="N4:N27">
    <cfRule type="cellIs" priority="1" operator="equal" dxfId="0" stopIfTrue="1">
      <formula>"Completed"</formula>
    </cfRule>
    <cfRule type="cellIs" priority="2" operator="equal" dxfId="1" stopIfTrue="1">
      <formula>"In Progress"</formula>
    </cfRule>
    <cfRule type="cellIs" priority="3" operator="equal" dxfId="2" stopIfTrue="1">
      <formula>"Not Started"</formula>
    </cfRule>
    <cfRule type="cellIs" priority="4" operator="equal" dxfId="0" stopIfTrue="1">
      <formula>"Achieved"</formula>
    </cfRule>
  </conditionalFormatting>
  <dataValidations count="1">
    <dataValidation sqref="M4:M25 N4:N27 V4:V35" showDropDown="0" showInputMessage="0" showErrorMessage="0" allowBlank="1" type="list">
      <formula1>"Not Started,In Progress,Completed,Skipped,Needs Review"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9"/>
  <sheetViews>
    <sheetView showGridLines="1"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3" customWidth="1" min="2" max="2"/>
    <col width="13" customWidth="1" min="3" max="3"/>
    <col width="28"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4" customWidth="1" min="13" max="13"/>
    <col width="30" customWidth="1" min="14" max="14"/>
    <col width="15" customWidth="1" min="15" max="15"/>
    <col width="14" customWidth="1" min="16" max="16"/>
    <col width="30" customWidth="1" min="17" max="17"/>
    <col width="35" customWidth="1" min="18" max="18"/>
    <col width="30" customWidth="1" min="19" max="19"/>
  </cols>
  <sheetData>
    <row r="1">
      <c r="A1" s="1" t="inlineStr">
        <is>
          <t>WEEKLY PROGRESS &amp; STUDY LOG TRACKER (24 WEEKS)</t>
        </is>
      </c>
    </row>
    <row r="2"/>
    <row r="3">
      <c r="A3" s="2" t="inlineStr">
        <is>
          <t>Log weekly hours, research milestones, lab deliverables, and reflect on challenges to build academic rigor.</t>
        </is>
      </c>
    </row>
    <row r="4" ht="28" customHeight="1">
      <c r="A4" s="11" t="inlineStr">
        <is>
          <t>Week</t>
        </is>
      </c>
      <c r="B4" s="11" t="inlineStr">
        <is>
          <t>Start Date</t>
        </is>
      </c>
      <c r="C4" s="11" t="inlineStr">
        <is>
          <t>End Date</t>
        </is>
      </c>
      <c r="D4" s="11" t="inlineStr">
        <is>
          <t>Main Topic</t>
        </is>
      </c>
      <c r="E4" s="11" t="inlineStr">
        <is>
          <t>Target Hours</t>
        </is>
      </c>
      <c r="F4" s="11" t="inlineStr">
        <is>
          <t>Actual Total Hours</t>
        </is>
      </c>
      <c r="G4" s="11" t="inlineStr">
        <is>
          <t>Course Hours</t>
        </is>
      </c>
      <c r="H4" s="11" t="inlineStr">
        <is>
          <t>Reading Hours</t>
        </is>
      </c>
      <c r="I4" s="11" t="inlineStr">
        <is>
          <t>Practical Hours</t>
        </is>
      </c>
      <c r="J4" s="11" t="inlineStr">
        <is>
          <t>Research Hours</t>
        </is>
      </c>
      <c r="K4" s="11" t="inlineStr">
        <is>
          <t>Papers Read</t>
        </is>
      </c>
      <c r="L4" s="11" t="inlineStr">
        <is>
          <t>Labs Completed</t>
        </is>
      </c>
      <c r="M4" s="11" t="inlineStr">
        <is>
          <t>Research Tasks Completed</t>
        </is>
      </c>
      <c r="N4" s="11" t="inlineStr">
        <is>
          <t>Weekly Goal</t>
        </is>
      </c>
      <c r="O4" s="11" t="inlineStr">
        <is>
          <t>Goal Achieved?</t>
        </is>
      </c>
      <c r="P4" s="11" t="inlineStr">
        <is>
          <t>Completion %</t>
        </is>
      </c>
      <c r="Q4" s="11" t="inlineStr">
        <is>
          <t>Challenges Encountered</t>
        </is>
      </c>
      <c r="R4" s="11" t="inlineStr">
        <is>
          <t>Key Learnings &amp; Insights</t>
        </is>
      </c>
      <c r="S4" s="11" t="inlineStr">
        <is>
          <t>Next Week Focus</t>
        </is>
      </c>
    </row>
    <row r="5">
      <c r="A5" s="12" t="inlineStr">
        <is>
          <t>Week 1</t>
        </is>
      </c>
      <c r="B5" s="38">
        <f>DATE(2026,9,1)+(1-1)*7</f>
        <v/>
      </c>
      <c r="C5" s="38">
        <f>B5+6</f>
        <v/>
      </c>
      <c r="D5" s="13" t="inlineStr">
        <is>
          <t>Edge Paradigm &amp; Device-Edge-Cloud Continuum</t>
        </is>
      </c>
      <c r="E5" s="35" t="n">
        <v>8.5</v>
      </c>
      <c r="F5" s="36">
        <f>SUM(G5:J5)</f>
        <v/>
      </c>
      <c r="G5" s="35" t="n">
        <v>3.5</v>
      </c>
      <c r="H5" s="35" t="n">
        <v>2</v>
      </c>
      <c r="I5" s="35" t="n">
        <v>1.5</v>
      </c>
      <c r="J5" s="35" t="n">
        <v>1</v>
      </c>
      <c r="K5" s="12" t="n">
        <v>1</v>
      </c>
      <c r="L5" s="12" t="n">
        <v>1</v>
      </c>
      <c r="M5" s="12" t="n">
        <v>1</v>
      </c>
      <c r="N5" s="13" t="inlineStr">
        <is>
          <t>Deconstruct Edge vs Fog and map 3 architectures</t>
        </is>
      </c>
      <c r="O5" s="12" t="inlineStr">
        <is>
          <t>Yes</t>
        </is>
      </c>
      <c r="P5" s="39" t="n">
        <v>1</v>
      </c>
      <c r="Q5" s="13" t="inlineStr">
        <is>
          <t>Differentiating nuances between Cloudlets and MEC standards</t>
        </is>
      </c>
      <c r="R5" s="13" t="inlineStr">
        <is>
          <t>Edge is complementary to Cloud; driven by physical speed-of-light constraints.</t>
        </is>
      </c>
      <c r="S5" s="13" t="inlineStr">
        <is>
          <t>Deep dive into TCP/UDP latency and bufferbloat in CS144</t>
        </is>
      </c>
    </row>
    <row r="6">
      <c r="A6" s="16" t="inlineStr">
        <is>
          <t>Week 2</t>
        </is>
      </c>
      <c r="B6" s="40">
        <f>DATE(2026,9,1)+(2-1)*7</f>
        <v/>
      </c>
      <c r="C6" s="40">
        <f>B6+6</f>
        <v/>
      </c>
      <c r="D6" s="17" t="inlineStr">
        <is>
          <t>Transport Protocols, Latency &amp; BDP</t>
        </is>
      </c>
      <c r="E6" s="32" t="n">
        <v>8.5</v>
      </c>
      <c r="F6" s="33">
        <f>SUM(G6:J6)</f>
        <v/>
      </c>
      <c r="G6" s="32" t="n">
        <v>0</v>
      </c>
      <c r="H6" s="32" t="n">
        <v>0</v>
      </c>
      <c r="I6" s="32" t="n">
        <v>0</v>
      </c>
      <c r="J6" s="32" t="n">
        <v>0</v>
      </c>
      <c r="K6" s="16" t="n">
        <v>0</v>
      </c>
      <c r="L6" s="16" t="n">
        <v>0</v>
      </c>
      <c r="M6" s="16" t="n">
        <v>0</v>
      </c>
      <c r="N6" s="17" t="inlineStr">
        <is>
          <t>Master Transport Protocols, Latency &amp; BDP and complete milestone</t>
        </is>
      </c>
      <c r="O6" s="16" t="inlineStr">
        <is>
          <t>No</t>
        </is>
      </c>
      <c r="P6" s="41" t="n">
        <v>0</v>
      </c>
      <c r="Q6" s="17" t="inlineStr"/>
      <c r="R6" s="17" t="inlineStr"/>
      <c r="S6" s="17" t="inlineStr"/>
    </row>
    <row r="7">
      <c r="A7" s="12" t="inlineStr">
        <is>
          <t>Week 3</t>
        </is>
      </c>
      <c r="B7" s="38">
        <f>DATE(2026,9,1)+(3-1)*7</f>
        <v/>
      </c>
      <c r="C7" s="38">
        <f>B7+6</f>
        <v/>
      </c>
      <c r="D7" s="13" t="inlineStr">
        <is>
          <t>SDN &amp; Programmable Data Planes</t>
        </is>
      </c>
      <c r="E7" s="35" t="n">
        <v>8.5</v>
      </c>
      <c r="F7" s="36">
        <f>SUM(G7:J7)</f>
        <v/>
      </c>
      <c r="G7" s="35" t="n">
        <v>0</v>
      </c>
      <c r="H7" s="35" t="n">
        <v>0</v>
      </c>
      <c r="I7" s="35" t="n">
        <v>0</v>
      </c>
      <c r="J7" s="35" t="n">
        <v>0</v>
      </c>
      <c r="K7" s="12" t="n">
        <v>0</v>
      </c>
      <c r="L7" s="12" t="n">
        <v>0</v>
      </c>
      <c r="M7" s="12" t="n">
        <v>0</v>
      </c>
      <c r="N7" s="13" t="inlineStr">
        <is>
          <t>Master SDN &amp; Programmable Data Planes and complete milestone</t>
        </is>
      </c>
      <c r="O7" s="12" t="inlineStr">
        <is>
          <t>No</t>
        </is>
      </c>
      <c r="P7" s="39" t="n">
        <v>0</v>
      </c>
      <c r="Q7" s="13" t="inlineStr"/>
      <c r="R7" s="13" t="inlineStr"/>
      <c r="S7" s="13" t="inlineStr"/>
    </row>
    <row r="8">
      <c r="A8" s="16" t="inlineStr">
        <is>
          <t>Week 4</t>
        </is>
      </c>
      <c r="B8" s="40">
        <f>DATE(2026,9,1)+(4-1)*7</f>
        <v/>
      </c>
      <c r="C8" s="40">
        <f>B8+6</f>
        <v/>
      </c>
      <c r="D8" s="17" t="inlineStr">
        <is>
          <t>Wireless Protocols, MQTT/CoAP &amp; Edge Telemetry</t>
        </is>
      </c>
      <c r="E8" s="32" t="n">
        <v>9</v>
      </c>
      <c r="F8" s="33">
        <f>SUM(G8:J8)</f>
        <v/>
      </c>
      <c r="G8" s="32" t="n">
        <v>0</v>
      </c>
      <c r="H8" s="32" t="n">
        <v>0</v>
      </c>
      <c r="I8" s="32" t="n">
        <v>0</v>
      </c>
      <c r="J8" s="32" t="n">
        <v>0</v>
      </c>
      <c r="K8" s="16" t="n">
        <v>0</v>
      </c>
      <c r="L8" s="16" t="n">
        <v>0</v>
      </c>
      <c r="M8" s="16" t="n">
        <v>0</v>
      </c>
      <c r="N8" s="17" t="inlineStr">
        <is>
          <t>Master Wireless Protocols, MQTT/CoAP &amp; Edge Telemetry and complete milestone</t>
        </is>
      </c>
      <c r="O8" s="16" t="inlineStr">
        <is>
          <t>No</t>
        </is>
      </c>
      <c r="P8" s="41" t="n">
        <v>0</v>
      </c>
      <c r="Q8" s="17" t="inlineStr"/>
      <c r="R8" s="17" t="inlineStr"/>
      <c r="S8" s="17" t="inlineStr"/>
    </row>
    <row r="9">
      <c r="A9" s="12" t="inlineStr">
        <is>
          <t>Week 5</t>
        </is>
      </c>
      <c r="B9" s="38">
        <f>DATE(2026,9,1)+(5-1)*7</f>
        <v/>
      </c>
      <c r="C9" s="38">
        <f>B9+6</f>
        <v/>
      </c>
      <c r="D9" s="13" t="inlineStr">
        <is>
          <t>Distributed Processes, RPC &amp; Logical Clocks</t>
        </is>
      </c>
      <c r="E9" s="35" t="n">
        <v>8.5</v>
      </c>
      <c r="F9" s="36">
        <f>SUM(G9:J9)</f>
        <v/>
      </c>
      <c r="G9" s="35" t="n">
        <v>0</v>
      </c>
      <c r="H9" s="35" t="n">
        <v>0</v>
      </c>
      <c r="I9" s="35" t="n">
        <v>0</v>
      </c>
      <c r="J9" s="35" t="n">
        <v>0</v>
      </c>
      <c r="K9" s="12" t="n">
        <v>0</v>
      </c>
      <c r="L9" s="12" t="n">
        <v>0</v>
      </c>
      <c r="M9" s="12" t="n">
        <v>0</v>
      </c>
      <c r="N9" s="13" t="inlineStr">
        <is>
          <t>Master Distributed Processes, RPC &amp; Logical Clocks and complete milestone</t>
        </is>
      </c>
      <c r="O9" s="12" t="inlineStr">
        <is>
          <t>No</t>
        </is>
      </c>
      <c r="P9" s="39" t="n">
        <v>0</v>
      </c>
      <c r="Q9" s="13" t="inlineStr"/>
      <c r="R9" s="13" t="inlineStr"/>
      <c r="S9" s="13" t="inlineStr"/>
    </row>
    <row r="10">
      <c r="A10" s="16" t="inlineStr">
        <is>
          <t>Week 6</t>
        </is>
      </c>
      <c r="B10" s="40">
        <f>DATE(2026,9,1)+(6-1)*7</f>
        <v/>
      </c>
      <c r="C10" s="40">
        <f>B10+6</f>
        <v/>
      </c>
      <c r="D10" s="17" t="inlineStr">
        <is>
          <t>Consistency Models, Replication &amp; CAP Theorem</t>
        </is>
      </c>
      <c r="E10" s="32" t="n">
        <v>8.5</v>
      </c>
      <c r="F10" s="33">
        <f>SUM(G10:J10)</f>
        <v/>
      </c>
      <c r="G10" s="32" t="n">
        <v>0</v>
      </c>
      <c r="H10" s="32" t="n">
        <v>0</v>
      </c>
      <c r="I10" s="32" t="n">
        <v>0</v>
      </c>
      <c r="J10" s="32" t="n">
        <v>0</v>
      </c>
      <c r="K10" s="16" t="n">
        <v>0</v>
      </c>
      <c r="L10" s="16" t="n">
        <v>0</v>
      </c>
      <c r="M10" s="16" t="n">
        <v>0</v>
      </c>
      <c r="N10" s="17" t="inlineStr">
        <is>
          <t>Master Consistency Models, Replication &amp; CAP Theorem and complete milestone</t>
        </is>
      </c>
      <c r="O10" s="16" t="inlineStr">
        <is>
          <t>No</t>
        </is>
      </c>
      <c r="P10" s="41" t="n">
        <v>0</v>
      </c>
      <c r="Q10" s="17" t="inlineStr"/>
      <c r="R10" s="17" t="inlineStr"/>
      <c r="S10" s="17" t="inlineStr"/>
    </row>
    <row r="11">
      <c r="A11" s="12" t="inlineStr">
        <is>
          <t>Week 7</t>
        </is>
      </c>
      <c r="B11" s="38">
        <f>DATE(2026,9,1)+(7-1)*7</f>
        <v/>
      </c>
      <c r="C11" s="38">
        <f>B11+6</f>
        <v/>
      </c>
      <c r="D11" s="13" t="inlineStr">
        <is>
          <t>Distributed Consensus: Paxos &amp; Raft</t>
        </is>
      </c>
      <c r="E11" s="35" t="n">
        <v>8.5</v>
      </c>
      <c r="F11" s="36">
        <f>SUM(G11:J11)</f>
        <v/>
      </c>
      <c r="G11" s="35" t="n">
        <v>0</v>
      </c>
      <c r="H11" s="35" t="n">
        <v>0</v>
      </c>
      <c r="I11" s="35" t="n">
        <v>0</v>
      </c>
      <c r="J11" s="35" t="n">
        <v>0</v>
      </c>
      <c r="K11" s="12" t="n">
        <v>0</v>
      </c>
      <c r="L11" s="12" t="n">
        <v>0</v>
      </c>
      <c r="M11" s="12" t="n">
        <v>0</v>
      </c>
      <c r="N11" s="13" t="inlineStr">
        <is>
          <t>Master Distributed Consensus: Paxos &amp; Raft and complete milestone</t>
        </is>
      </c>
      <c r="O11" s="12" t="inlineStr">
        <is>
          <t>No</t>
        </is>
      </c>
      <c r="P11" s="39" t="n">
        <v>0</v>
      </c>
      <c r="Q11" s="13" t="inlineStr"/>
      <c r="R11" s="13" t="inlineStr"/>
      <c r="S11" s="13" t="inlineStr"/>
    </row>
    <row r="12">
      <c r="A12" s="16" t="inlineStr">
        <is>
          <t>Week 8</t>
        </is>
      </c>
      <c r="B12" s="40">
        <f>DATE(2026,9,1)+(8-1)*7</f>
        <v/>
      </c>
      <c r="C12" s="40">
        <f>B12+6</f>
        <v/>
      </c>
      <c r="D12" s="17" t="inlineStr">
        <is>
          <t>Distributed Storage, CRDTs &amp; Fault Tolerance</t>
        </is>
      </c>
      <c r="E12" s="32" t="n">
        <v>9</v>
      </c>
      <c r="F12" s="33">
        <f>SUM(G12:J12)</f>
        <v/>
      </c>
      <c r="G12" s="32" t="n">
        <v>0</v>
      </c>
      <c r="H12" s="32" t="n">
        <v>0</v>
      </c>
      <c r="I12" s="32" t="n">
        <v>0</v>
      </c>
      <c r="J12" s="32" t="n">
        <v>0</v>
      </c>
      <c r="K12" s="16" t="n">
        <v>0</v>
      </c>
      <c r="L12" s="16" t="n">
        <v>0</v>
      </c>
      <c r="M12" s="16" t="n">
        <v>0</v>
      </c>
      <c r="N12" s="17" t="inlineStr">
        <is>
          <t>Master Distributed Storage, CRDTs &amp; Fault Tolerance and complete milestone</t>
        </is>
      </c>
      <c r="O12" s="16" t="inlineStr">
        <is>
          <t>No</t>
        </is>
      </c>
      <c r="P12" s="41" t="n">
        <v>0</v>
      </c>
      <c r="Q12" s="17" t="inlineStr"/>
      <c r="R12" s="17" t="inlineStr"/>
      <c r="S12" s="17" t="inlineStr"/>
    </row>
    <row r="13">
      <c r="A13" s="12" t="inlineStr">
        <is>
          <t>Week 9</t>
        </is>
      </c>
      <c r="B13" s="38">
        <f>DATE(2026,9,1)+(9-1)*7</f>
        <v/>
      </c>
      <c r="C13" s="38">
        <f>B13+6</f>
        <v/>
      </c>
      <c r="D13" s="13" t="inlineStr">
        <is>
          <t>Containerization Internals (cgroups, namespaces)</t>
        </is>
      </c>
      <c r="E13" s="35" t="n">
        <v>8.5</v>
      </c>
      <c r="F13" s="36">
        <f>SUM(G13:J13)</f>
        <v/>
      </c>
      <c r="G13" s="35" t="n">
        <v>0</v>
      </c>
      <c r="H13" s="35" t="n">
        <v>0</v>
      </c>
      <c r="I13" s="35" t="n">
        <v>0</v>
      </c>
      <c r="J13" s="35" t="n">
        <v>0</v>
      </c>
      <c r="K13" s="12" t="n">
        <v>0</v>
      </c>
      <c r="L13" s="12" t="n">
        <v>0</v>
      </c>
      <c r="M13" s="12" t="n">
        <v>0</v>
      </c>
      <c r="N13" s="13" t="inlineStr">
        <is>
          <t>Master Containerization Internals (cgroups, namespaces) and complete milestone</t>
        </is>
      </c>
      <c r="O13" s="12" t="inlineStr">
        <is>
          <t>No</t>
        </is>
      </c>
      <c r="P13" s="39" t="n">
        <v>0</v>
      </c>
      <c r="Q13" s="13" t="inlineStr"/>
      <c r="R13" s="13" t="inlineStr"/>
      <c r="S13" s="13" t="inlineStr"/>
    </row>
    <row r="14">
      <c r="A14" s="16" t="inlineStr">
        <is>
          <t>Week 10</t>
        </is>
      </c>
      <c r="B14" s="40">
        <f>DATE(2026,9,1)+(10-1)*7</f>
        <v/>
      </c>
      <c r="C14" s="40">
        <f>B14+6</f>
        <v/>
      </c>
      <c r="D14" s="17" t="inlineStr">
        <is>
          <t>Edge Kubernetes &amp; K3s Cluster Orchestration</t>
        </is>
      </c>
      <c r="E14" s="32" t="n">
        <v>8.5</v>
      </c>
      <c r="F14" s="33">
        <f>SUM(G14:J14)</f>
        <v/>
      </c>
      <c r="G14" s="32" t="n">
        <v>0</v>
      </c>
      <c r="H14" s="32" t="n">
        <v>0</v>
      </c>
      <c r="I14" s="32" t="n">
        <v>0</v>
      </c>
      <c r="J14" s="32" t="n">
        <v>0</v>
      </c>
      <c r="K14" s="16" t="n">
        <v>0</v>
      </c>
      <c r="L14" s="16" t="n">
        <v>0</v>
      </c>
      <c r="M14" s="16" t="n">
        <v>0</v>
      </c>
      <c r="N14" s="17" t="inlineStr">
        <is>
          <t>Master Edge Kubernetes &amp; K3s Cluster Orchestration and complete milestone</t>
        </is>
      </c>
      <c r="O14" s="16" t="inlineStr">
        <is>
          <t>No</t>
        </is>
      </c>
      <c r="P14" s="41" t="n">
        <v>0</v>
      </c>
      <c r="Q14" s="17" t="inlineStr"/>
      <c r="R14" s="17" t="inlineStr"/>
      <c r="S14" s="17" t="inlineStr"/>
    </row>
    <row r="15">
      <c r="A15" s="12" t="inlineStr">
        <is>
          <t>Week 11</t>
        </is>
      </c>
      <c r="B15" s="38">
        <f>DATE(2026,9,1)+(11-1)*7</f>
        <v/>
      </c>
      <c r="C15" s="38">
        <f>B15+6</f>
        <v/>
      </c>
      <c r="D15" s="13" t="inlineStr">
        <is>
          <t>Edge Serverless, FaaS &amp; Cold-Start Latency</t>
        </is>
      </c>
      <c r="E15" s="35" t="n">
        <v>8.5</v>
      </c>
      <c r="F15" s="36">
        <f>SUM(G15:J15)</f>
        <v/>
      </c>
      <c r="G15" s="35" t="n">
        <v>0</v>
      </c>
      <c r="H15" s="35" t="n">
        <v>0</v>
      </c>
      <c r="I15" s="35" t="n">
        <v>0</v>
      </c>
      <c r="J15" s="35" t="n">
        <v>0</v>
      </c>
      <c r="K15" s="12" t="n">
        <v>0</v>
      </c>
      <c r="L15" s="12" t="n">
        <v>0</v>
      </c>
      <c r="M15" s="12" t="n">
        <v>0</v>
      </c>
      <c r="N15" s="13" t="inlineStr">
        <is>
          <t>Master Edge Serverless, FaaS &amp; Cold-Start Latency and complete milestone</t>
        </is>
      </c>
      <c r="O15" s="12" t="inlineStr">
        <is>
          <t>No</t>
        </is>
      </c>
      <c r="P15" s="39" t="n">
        <v>0</v>
      </c>
      <c r="Q15" s="13" t="inlineStr"/>
      <c r="R15" s="13" t="inlineStr"/>
      <c r="S15" s="13" t="inlineStr"/>
    </row>
    <row r="16">
      <c r="A16" s="16" t="inlineStr">
        <is>
          <t>Week 12</t>
        </is>
      </c>
      <c r="B16" s="40">
        <f>DATE(2026,9,1)+(12-1)*7</f>
        <v/>
      </c>
      <c r="C16" s="40">
        <f>B16+6</f>
        <v/>
      </c>
      <c r="D16" s="17" t="inlineStr">
        <is>
          <t>Edge-Cloud Collaboration &amp; Hierarchical Arch</t>
        </is>
      </c>
      <c r="E16" s="32" t="n">
        <v>9</v>
      </c>
      <c r="F16" s="33">
        <f>SUM(G16:J16)</f>
        <v/>
      </c>
      <c r="G16" s="32" t="n">
        <v>0</v>
      </c>
      <c r="H16" s="32" t="n">
        <v>0</v>
      </c>
      <c r="I16" s="32" t="n">
        <v>0</v>
      </c>
      <c r="J16" s="32" t="n">
        <v>0</v>
      </c>
      <c r="K16" s="16" t="n">
        <v>0</v>
      </c>
      <c r="L16" s="16" t="n">
        <v>0</v>
      </c>
      <c r="M16" s="16" t="n">
        <v>0</v>
      </c>
      <c r="N16" s="17" t="inlineStr">
        <is>
          <t>Master Edge-Cloud Collaboration &amp; Hierarchical Arch and complete milestone</t>
        </is>
      </c>
      <c r="O16" s="16" t="inlineStr">
        <is>
          <t>No</t>
        </is>
      </c>
      <c r="P16" s="41" t="n">
        <v>0</v>
      </c>
      <c r="Q16" s="17" t="inlineStr"/>
      <c r="R16" s="17" t="inlineStr"/>
      <c r="S16" s="17" t="inlineStr"/>
    </row>
    <row r="17">
      <c r="A17" s="12" t="inlineStr">
        <is>
          <t>Week 13</t>
        </is>
      </c>
      <c r="B17" s="38">
        <f>DATE(2026,9,1)+(13-1)*7</f>
        <v/>
      </c>
      <c r="C17" s="38">
        <f>B17+6</f>
        <v/>
      </c>
      <c r="D17" s="13" t="inlineStr">
        <is>
          <t>5G Core, Network Slicing &amp; ETSI MEC</t>
        </is>
      </c>
      <c r="E17" s="35" t="n">
        <v>8.5</v>
      </c>
      <c r="F17" s="36">
        <f>SUM(G17:J17)</f>
        <v/>
      </c>
      <c r="G17" s="35" t="n">
        <v>0</v>
      </c>
      <c r="H17" s="35" t="n">
        <v>0</v>
      </c>
      <c r="I17" s="35" t="n">
        <v>0</v>
      </c>
      <c r="J17" s="35" t="n">
        <v>0</v>
      </c>
      <c r="K17" s="12" t="n">
        <v>0</v>
      </c>
      <c r="L17" s="12" t="n">
        <v>0</v>
      </c>
      <c r="M17" s="12" t="n">
        <v>0</v>
      </c>
      <c r="N17" s="13" t="inlineStr">
        <is>
          <t>Master 5G Core, Network Slicing &amp; ETSI MEC and complete milestone</t>
        </is>
      </c>
      <c r="O17" s="12" t="inlineStr">
        <is>
          <t>No</t>
        </is>
      </c>
      <c r="P17" s="39" t="n">
        <v>0</v>
      </c>
      <c r="Q17" s="13" t="inlineStr"/>
      <c r="R17" s="13" t="inlineStr"/>
      <c r="S17" s="13" t="inlineStr"/>
    </row>
    <row r="18">
      <c r="A18" s="16" t="inlineStr">
        <is>
          <t>Week 14</t>
        </is>
      </c>
      <c r="B18" s="40">
        <f>DATE(2026,9,1)+(14-1)*7</f>
        <v/>
      </c>
      <c r="C18" s="40">
        <f>B18+6</f>
        <v/>
      </c>
      <c r="D18" s="17" t="inlineStr">
        <is>
          <t>6G Vision, URLLC &amp; Vehicular Edge (V2X)</t>
        </is>
      </c>
      <c r="E18" s="32" t="n">
        <v>8.5</v>
      </c>
      <c r="F18" s="33">
        <f>SUM(G18:J18)</f>
        <v/>
      </c>
      <c r="G18" s="32" t="n">
        <v>0</v>
      </c>
      <c r="H18" s="32" t="n">
        <v>0</v>
      </c>
      <c r="I18" s="32" t="n">
        <v>0</v>
      </c>
      <c r="J18" s="32" t="n">
        <v>0</v>
      </c>
      <c r="K18" s="16" t="n">
        <v>0</v>
      </c>
      <c r="L18" s="16" t="n">
        <v>0</v>
      </c>
      <c r="M18" s="16" t="n">
        <v>0</v>
      </c>
      <c r="N18" s="17" t="inlineStr">
        <is>
          <t>Master 6G Vision, URLLC &amp; Vehicular Edge (V2X) and complete milestone</t>
        </is>
      </c>
      <c r="O18" s="16" t="inlineStr">
        <is>
          <t>No</t>
        </is>
      </c>
      <c r="P18" s="41" t="n">
        <v>0</v>
      </c>
      <c r="Q18" s="17" t="inlineStr"/>
      <c r="R18" s="17" t="inlineStr"/>
      <c r="S18" s="17" t="inlineStr"/>
    </row>
    <row r="19">
      <c r="A19" s="12" t="inlineStr">
        <is>
          <t>Week 15</t>
        </is>
      </c>
      <c r="B19" s="38">
        <f>DATE(2026,9,1)+(15-1)*7</f>
        <v/>
      </c>
      <c r="C19" s="38">
        <f>B19+6</f>
        <v/>
      </c>
      <c r="D19" s="13" t="inlineStr">
        <is>
          <t>Computation Offloading Decision Models</t>
        </is>
      </c>
      <c r="E19" s="35" t="n">
        <v>8.5</v>
      </c>
      <c r="F19" s="36">
        <f>SUM(G19:J19)</f>
        <v/>
      </c>
      <c r="G19" s="35" t="n">
        <v>0</v>
      </c>
      <c r="H19" s="35" t="n">
        <v>0</v>
      </c>
      <c r="I19" s="35" t="n">
        <v>0</v>
      </c>
      <c r="J19" s="35" t="n">
        <v>0</v>
      </c>
      <c r="K19" s="12" t="n">
        <v>0</v>
      </c>
      <c r="L19" s="12" t="n">
        <v>0</v>
      </c>
      <c r="M19" s="12" t="n">
        <v>0</v>
      </c>
      <c r="N19" s="13" t="inlineStr">
        <is>
          <t>Master Computation Offloading Decision Models and complete milestone</t>
        </is>
      </c>
      <c r="O19" s="12" t="inlineStr">
        <is>
          <t>No</t>
        </is>
      </c>
      <c r="P19" s="39" t="n">
        <v>0</v>
      </c>
      <c r="Q19" s="13" t="inlineStr"/>
      <c r="R19" s="13" t="inlineStr"/>
      <c r="S19" s="13" t="inlineStr"/>
    </row>
    <row r="20">
      <c r="A20" s="16" t="inlineStr">
        <is>
          <t>Week 16</t>
        </is>
      </c>
      <c r="B20" s="40">
        <f>DATE(2026,9,1)+(16-1)*7</f>
        <v/>
      </c>
      <c r="C20" s="40">
        <f>B20+6</f>
        <v/>
      </c>
      <c r="D20" s="17" t="inlineStr">
        <is>
          <t>Convex Optimization &amp; CVXPY Implementation</t>
        </is>
      </c>
      <c r="E20" s="32" t="n">
        <v>9</v>
      </c>
      <c r="F20" s="33">
        <f>SUM(G20:J20)</f>
        <v/>
      </c>
      <c r="G20" s="32" t="n">
        <v>0</v>
      </c>
      <c r="H20" s="32" t="n">
        <v>0</v>
      </c>
      <c r="I20" s="32" t="n">
        <v>0</v>
      </c>
      <c r="J20" s="32" t="n">
        <v>0</v>
      </c>
      <c r="K20" s="16" t="n">
        <v>0</v>
      </c>
      <c r="L20" s="16" t="n">
        <v>0</v>
      </c>
      <c r="M20" s="16" t="n">
        <v>0</v>
      </c>
      <c r="N20" s="17" t="inlineStr">
        <is>
          <t>Master Convex Optimization &amp; CVXPY Implementation and complete milestone</t>
        </is>
      </c>
      <c r="O20" s="16" t="inlineStr">
        <is>
          <t>No</t>
        </is>
      </c>
      <c r="P20" s="41" t="n">
        <v>0</v>
      </c>
      <c r="Q20" s="17" t="inlineStr"/>
      <c r="R20" s="17" t="inlineStr"/>
      <c r="S20" s="17" t="inlineStr"/>
    </row>
    <row r="21">
      <c r="A21" s="12" t="inlineStr">
        <is>
          <t>Week 17</t>
        </is>
      </c>
      <c r="B21" s="38">
        <f>DATE(2026,9,1)+(17-1)*7</f>
        <v/>
      </c>
      <c r="C21" s="38">
        <f>B21+6</f>
        <v/>
      </c>
      <c r="D21" s="13" t="inlineStr">
        <is>
          <t>Edge AI Taxonomy, Quantization &amp; Pruning</t>
        </is>
      </c>
      <c r="E21" s="35" t="n">
        <v>8.5</v>
      </c>
      <c r="F21" s="36">
        <f>SUM(G21:J21)</f>
        <v/>
      </c>
      <c r="G21" s="35" t="n">
        <v>0</v>
      </c>
      <c r="H21" s="35" t="n">
        <v>0</v>
      </c>
      <c r="I21" s="35" t="n">
        <v>0</v>
      </c>
      <c r="J21" s="35" t="n">
        <v>0</v>
      </c>
      <c r="K21" s="12" t="n">
        <v>0</v>
      </c>
      <c r="L21" s="12" t="n">
        <v>0</v>
      </c>
      <c r="M21" s="12" t="n">
        <v>0</v>
      </c>
      <c r="N21" s="13" t="inlineStr">
        <is>
          <t>Master Edge AI Taxonomy, Quantization &amp; Pruning and complete milestone</t>
        </is>
      </c>
      <c r="O21" s="12" t="inlineStr">
        <is>
          <t>No</t>
        </is>
      </c>
      <c r="P21" s="39" t="n">
        <v>0</v>
      </c>
      <c r="Q21" s="13" t="inlineStr"/>
      <c r="R21" s="13" t="inlineStr"/>
      <c r="S21" s="13" t="inlineStr"/>
    </row>
    <row r="22">
      <c r="A22" s="16" t="inlineStr">
        <is>
          <t>Week 18</t>
        </is>
      </c>
      <c r="B22" s="40">
        <f>DATE(2026,9,1)+(18-1)*7</f>
        <v/>
      </c>
      <c r="C22" s="40">
        <f>B22+6</f>
        <v/>
      </c>
      <c r="D22" s="17" t="inlineStr">
        <is>
          <t>TinyML Deployments &amp; Embedded Neural Inference</t>
        </is>
      </c>
      <c r="E22" s="32" t="n">
        <v>8.5</v>
      </c>
      <c r="F22" s="33">
        <f>SUM(G22:J22)</f>
        <v/>
      </c>
      <c r="G22" s="32" t="n">
        <v>0</v>
      </c>
      <c r="H22" s="32" t="n">
        <v>0</v>
      </c>
      <c r="I22" s="32" t="n">
        <v>0</v>
      </c>
      <c r="J22" s="32" t="n">
        <v>0</v>
      </c>
      <c r="K22" s="16" t="n">
        <v>0</v>
      </c>
      <c r="L22" s="16" t="n">
        <v>0</v>
      </c>
      <c r="M22" s="16" t="n">
        <v>0</v>
      </c>
      <c r="N22" s="17" t="inlineStr">
        <is>
          <t>Master TinyML Deployments &amp; Embedded Neural Inference and complete milestone</t>
        </is>
      </c>
      <c r="O22" s="16" t="inlineStr">
        <is>
          <t>No</t>
        </is>
      </c>
      <c r="P22" s="41" t="n">
        <v>0</v>
      </c>
      <c r="Q22" s="17" t="inlineStr"/>
      <c r="R22" s="17" t="inlineStr"/>
      <c r="S22" s="17" t="inlineStr"/>
    </row>
    <row r="23">
      <c r="A23" s="12" t="inlineStr">
        <is>
          <t>Week 19</t>
        </is>
      </c>
      <c r="B23" s="38">
        <f>DATE(2026,9,1)+(19-1)*7</f>
        <v/>
      </c>
      <c r="C23" s="38">
        <f>B23+6</f>
        <v/>
      </c>
      <c r="D23" s="13" t="inlineStr">
        <is>
          <t>Federated Learning (FedAvg) &amp; Non-IID Skew</t>
        </is>
      </c>
      <c r="E23" s="35" t="n">
        <v>8.5</v>
      </c>
      <c r="F23" s="36">
        <f>SUM(G23:J23)</f>
        <v/>
      </c>
      <c r="G23" s="35" t="n">
        <v>0</v>
      </c>
      <c r="H23" s="35" t="n">
        <v>0</v>
      </c>
      <c r="I23" s="35" t="n">
        <v>0</v>
      </c>
      <c r="J23" s="35" t="n">
        <v>0</v>
      </c>
      <c r="K23" s="12" t="n">
        <v>0</v>
      </c>
      <c r="L23" s="12" t="n">
        <v>0</v>
      </c>
      <c r="M23" s="12" t="n">
        <v>0</v>
      </c>
      <c r="N23" s="13" t="inlineStr">
        <is>
          <t>Master Federated Learning (FedAvg) &amp; Non-IID Skew and complete milestone</t>
        </is>
      </c>
      <c r="O23" s="12" t="inlineStr">
        <is>
          <t>No</t>
        </is>
      </c>
      <c r="P23" s="39" t="n">
        <v>0</v>
      </c>
      <c r="Q23" s="13" t="inlineStr"/>
      <c r="R23" s="13" t="inlineStr"/>
      <c r="S23" s="13" t="inlineStr"/>
    </row>
    <row r="24">
      <c r="A24" s="16" t="inlineStr">
        <is>
          <t>Week 20</t>
        </is>
      </c>
      <c r="B24" s="40">
        <f>DATE(2026,9,1)+(20-1)*7</f>
        <v/>
      </c>
      <c r="C24" s="40">
        <f>B24+6</f>
        <v/>
      </c>
      <c r="D24" s="17" t="inlineStr">
        <is>
          <t>Edge Security, TEEs (TrustZone) &amp; FL Privacy</t>
        </is>
      </c>
      <c r="E24" s="32" t="n">
        <v>9</v>
      </c>
      <c r="F24" s="33">
        <f>SUM(G24:J24)</f>
        <v/>
      </c>
      <c r="G24" s="32" t="n">
        <v>0</v>
      </c>
      <c r="H24" s="32" t="n">
        <v>0</v>
      </c>
      <c r="I24" s="32" t="n">
        <v>0</v>
      </c>
      <c r="J24" s="32" t="n">
        <v>0</v>
      </c>
      <c r="K24" s="16" t="n">
        <v>0</v>
      </c>
      <c r="L24" s="16" t="n">
        <v>0</v>
      </c>
      <c r="M24" s="16" t="n">
        <v>0</v>
      </c>
      <c r="N24" s="17" t="inlineStr">
        <is>
          <t>Master Edge Security, TEEs (TrustZone) &amp; FL Privacy and complete milestone</t>
        </is>
      </c>
      <c r="O24" s="16" t="inlineStr">
        <is>
          <t>No</t>
        </is>
      </c>
      <c r="P24" s="41" t="n">
        <v>0</v>
      </c>
      <c r="Q24" s="17" t="inlineStr"/>
      <c r="R24" s="17" t="inlineStr"/>
      <c r="S24" s="17" t="inlineStr"/>
    </row>
    <row r="25">
      <c r="A25" s="12" t="inlineStr">
        <is>
          <t>Week 21</t>
        </is>
      </c>
      <c r="B25" s="38">
        <f>DATE(2026,9,1)+(21-1)*7</f>
        <v/>
      </c>
      <c r="C25" s="38">
        <f>B25+6</f>
        <v/>
      </c>
      <c r="D25" s="13" t="inlineStr">
        <is>
          <t>Discrete-Event Simulation with EdgeCloudSim</t>
        </is>
      </c>
      <c r="E25" s="35" t="n">
        <v>8.5</v>
      </c>
      <c r="F25" s="36">
        <f>SUM(G25:J25)</f>
        <v/>
      </c>
      <c r="G25" s="35" t="n">
        <v>0</v>
      </c>
      <c r="H25" s="35" t="n">
        <v>0</v>
      </c>
      <c r="I25" s="35" t="n">
        <v>0</v>
      </c>
      <c r="J25" s="35" t="n">
        <v>0</v>
      </c>
      <c r="K25" s="12" t="n">
        <v>0</v>
      </c>
      <c r="L25" s="12" t="n">
        <v>0</v>
      </c>
      <c r="M25" s="12" t="n">
        <v>0</v>
      </c>
      <c r="N25" s="13" t="inlineStr">
        <is>
          <t>Master Discrete-Event Simulation with EdgeCloudSim and complete milestone</t>
        </is>
      </c>
      <c r="O25" s="12" t="inlineStr">
        <is>
          <t>No</t>
        </is>
      </c>
      <c r="P25" s="39" t="n">
        <v>0</v>
      </c>
      <c r="Q25" s="13" t="inlineStr"/>
      <c r="R25" s="13" t="inlineStr"/>
      <c r="S25" s="13" t="inlineStr"/>
    </row>
    <row r="26">
      <c r="A26" s="16" t="inlineStr">
        <is>
          <t>Week 22</t>
        </is>
      </c>
      <c r="B26" s="40">
        <f>DATE(2026,9,1)+(22-1)*7</f>
        <v/>
      </c>
      <c r="C26" s="40">
        <f>B26+6</f>
        <v/>
      </c>
      <c r="D26" s="17" t="inlineStr">
        <is>
          <t>Capstone I: Experimental Design &amp; Benchmark</t>
        </is>
      </c>
      <c r="E26" s="32" t="n">
        <v>8.5</v>
      </c>
      <c r="F26" s="33">
        <f>SUM(G26:J26)</f>
        <v/>
      </c>
      <c r="G26" s="32" t="n">
        <v>0</v>
      </c>
      <c r="H26" s="32" t="n">
        <v>0</v>
      </c>
      <c r="I26" s="32" t="n">
        <v>0</v>
      </c>
      <c r="J26" s="32" t="n">
        <v>0</v>
      </c>
      <c r="K26" s="16" t="n">
        <v>0</v>
      </c>
      <c r="L26" s="16" t="n">
        <v>0</v>
      </c>
      <c r="M26" s="16" t="n">
        <v>0</v>
      </c>
      <c r="N26" s="17" t="inlineStr">
        <is>
          <t>Master Capstone I: Experimental Design &amp; Benchmark and complete milestone</t>
        </is>
      </c>
      <c r="O26" s="16" t="inlineStr">
        <is>
          <t>No</t>
        </is>
      </c>
      <c r="P26" s="41" t="n">
        <v>0</v>
      </c>
      <c r="Q26" s="17" t="inlineStr"/>
      <c r="R26" s="17" t="inlineStr"/>
      <c r="S26" s="17" t="inlineStr"/>
    </row>
    <row r="27">
      <c r="A27" s="12" t="inlineStr">
        <is>
          <t>Week 23</t>
        </is>
      </c>
      <c r="B27" s="38">
        <f>DATE(2026,9,1)+(23-1)*7</f>
        <v/>
      </c>
      <c r="C27" s="38">
        <f>B27+6</f>
        <v/>
      </c>
      <c r="D27" s="13" t="inlineStr">
        <is>
          <t>Capstone II: Result Analysis &amp; LaTeX Paper</t>
        </is>
      </c>
      <c r="E27" s="35" t="n">
        <v>10</v>
      </c>
      <c r="F27" s="36">
        <f>SUM(G27:J27)</f>
        <v/>
      </c>
      <c r="G27" s="35" t="n">
        <v>0</v>
      </c>
      <c r="H27" s="35" t="n">
        <v>0</v>
      </c>
      <c r="I27" s="35" t="n">
        <v>0</v>
      </c>
      <c r="J27" s="35" t="n">
        <v>0</v>
      </c>
      <c r="K27" s="12" t="n">
        <v>0</v>
      </c>
      <c r="L27" s="12" t="n">
        <v>0</v>
      </c>
      <c r="M27" s="12" t="n">
        <v>0</v>
      </c>
      <c r="N27" s="13" t="inlineStr">
        <is>
          <t>Master Capstone II: Result Analysis &amp; LaTeX Paper and complete milestone</t>
        </is>
      </c>
      <c r="O27" s="12" t="inlineStr">
        <is>
          <t>No</t>
        </is>
      </c>
      <c r="P27" s="39" t="n">
        <v>0</v>
      </c>
      <c r="Q27" s="13" t="inlineStr"/>
      <c r="R27" s="13" t="inlineStr"/>
      <c r="S27" s="13" t="inlineStr"/>
    </row>
    <row r="28">
      <c r="A28" s="16" t="inlineStr">
        <is>
          <t>Week 24</t>
        </is>
      </c>
      <c r="B28" s="40">
        <f>DATE(2026,9,1)+(24-1)*7</f>
        <v/>
      </c>
      <c r="C28" s="40">
        <f>B28+6</f>
        <v/>
      </c>
      <c r="D28" s="17" t="inlineStr">
        <is>
          <t>PhD Research Proposal Synthesis &amp; Defense</t>
        </is>
      </c>
      <c r="E28" s="32" t="n">
        <v>10</v>
      </c>
      <c r="F28" s="33">
        <f>SUM(G28:J28)</f>
        <v/>
      </c>
      <c r="G28" s="32" t="n">
        <v>0</v>
      </c>
      <c r="H28" s="32" t="n">
        <v>0</v>
      </c>
      <c r="I28" s="32" t="n">
        <v>0</v>
      </c>
      <c r="J28" s="32" t="n">
        <v>0</v>
      </c>
      <c r="K28" s="16" t="n">
        <v>0</v>
      </c>
      <c r="L28" s="16" t="n">
        <v>0</v>
      </c>
      <c r="M28" s="16" t="n">
        <v>0</v>
      </c>
      <c r="N28" s="17" t="inlineStr">
        <is>
          <t>Master PhD Research Proposal Synthesis &amp; Defense and complete milestone</t>
        </is>
      </c>
      <c r="O28" s="16" t="inlineStr">
        <is>
          <t>No</t>
        </is>
      </c>
      <c r="P28" s="41" t="n">
        <v>0</v>
      </c>
      <c r="Q28" s="17" t="inlineStr"/>
      <c r="R28" s="17" t="inlineStr"/>
      <c r="S28" s="17" t="inlineStr"/>
    </row>
    <row r="29">
      <c r="A29" s="28" t="inlineStr">
        <is>
          <t>TOTAL / SUMMARY</t>
        </is>
      </c>
      <c r="B29" s="42" t="n"/>
      <c r="C29" s="42" t="n"/>
      <c r="D29" s="26" t="inlineStr">
        <is>
          <t>24 WEEKS PROGRAM TOTALS</t>
        </is>
      </c>
      <c r="E29" s="43">
        <f>SUM(E5:E28)</f>
        <v/>
      </c>
      <c r="F29" s="43">
        <f>SUM(F5:F28)</f>
        <v/>
      </c>
      <c r="G29" s="44">
        <f>SUM(G5:G28)</f>
        <v/>
      </c>
      <c r="H29" s="44">
        <f>SUM(H5:H28)</f>
        <v/>
      </c>
      <c r="I29" s="44">
        <f>SUM(I5:I28)</f>
        <v/>
      </c>
      <c r="J29" s="44">
        <f>SUM(J5:J28)</f>
        <v/>
      </c>
      <c r="K29" s="45">
        <f>SUM(K5:K28)</f>
        <v/>
      </c>
      <c r="L29" s="45">
        <f>SUM(L5:L28)</f>
        <v/>
      </c>
      <c r="M29" s="45">
        <f>SUM(M5:M28)</f>
        <v/>
      </c>
      <c r="N29" s="42" t="n"/>
      <c r="O29" s="42" t="n"/>
      <c r="P29" s="46">
        <f>AVERAGE(P5:P28)</f>
        <v/>
      </c>
      <c r="Q29" s="42" t="n"/>
      <c r="R29" s="42" t="n"/>
      <c r="S29" s="42" t="n"/>
    </row>
  </sheetData>
  <mergeCells count="2">
    <mergeCell ref="A1:S2"/>
    <mergeCell ref="A3:S3"/>
  </mergeCells>
  <conditionalFormatting sqref="O5:O28">
    <cfRule type="cellIs" priority="1" operator="equal" dxfId="0" stopIfTrue="1">
      <formula>"Yes"</formula>
    </cfRule>
    <cfRule type="cellIs" priority="2" operator="equal" dxfId="1" stopIfTrue="1">
      <formula>"Partially"</formula>
    </cfRule>
    <cfRule type="cellIs" priority="3" operator="equal" dxfId="2" stopIfTrue="1">
      <formula>"No"</formula>
    </cfRule>
  </conditionalFormatting>
  <dataValidations count="1">
    <dataValidation sqref="O5:O28" showDropDown="0" showInputMessage="0" showErrorMessage="0" allowBlank="1" type="list">
      <formula1>"Yes,Partially,No"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7"/>
  <sheetViews>
    <sheetView showGridLines="1"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4" customWidth="1" min="2" max="2"/>
    <col width="18" customWidth="1" min="3" max="3"/>
    <col width="35" customWidth="1" min="4" max="4"/>
    <col width="14" customWidth="1" min="5" max="5"/>
    <col width="16" customWidth="1" min="6" max="6"/>
    <col width="16" customWidth="1" min="7" max="7"/>
    <col width="14" customWidth="1" min="8" max="8"/>
    <col width="14" customWidth="1" min="9" max="9"/>
    <col width="12" customWidth="1" min="10" max="10"/>
    <col width="14" customWidth="1" min="11" max="11"/>
    <col width="18" customWidth="1" min="12" max="12"/>
    <col width="14" customWidth="1" min="13" max="13"/>
    <col width="45" customWidth="1" min="14" max="14"/>
  </cols>
  <sheetData>
    <row r="1">
      <c r="A1" s="1" t="inlineStr">
        <is>
          <t>ENROLLED COURSE PROGRESS &amp; MILESTONE TRACKER (100% FREE RESOURCES)</t>
        </is>
      </c>
    </row>
    <row r="2"/>
    <row r="3" ht="28" customHeight="1">
      <c r="A3" s="11" t="inlineStr">
        <is>
          <t>Course Title</t>
        </is>
      </c>
      <c r="B3" s="11" t="inlineStr">
        <is>
          <t>Platform / University</t>
        </is>
      </c>
      <c r="C3" s="11" t="inlineStr">
        <is>
          <t>Thematic Module</t>
        </is>
      </c>
      <c r="D3" s="11" t="inlineStr">
        <is>
          <t>Course URL</t>
        </is>
      </c>
      <c r="E3" s="11" t="inlineStr">
        <is>
          <t>Start Date</t>
        </is>
      </c>
      <c r="F3" s="11" t="inlineStr">
        <is>
          <t>Target Completion Date</t>
        </is>
      </c>
      <c r="G3" s="11" t="inlineStr">
        <is>
          <t>Actual Completion Date</t>
        </is>
      </c>
      <c r="H3" s="11" t="inlineStr">
        <is>
          <t>Estimated Hours</t>
        </is>
      </c>
      <c r="I3" s="11" t="inlineStr">
        <is>
          <t>Actual Hours Logged</t>
        </is>
      </c>
      <c r="J3" s="11" t="inlineStr">
        <is>
          <t>Progress %</t>
        </is>
      </c>
      <c r="K3" s="11" t="inlineStr">
        <is>
          <t>My Rating (1-5)</t>
        </is>
      </c>
      <c r="L3" s="11" t="inlineStr">
        <is>
          <t>Resource Type</t>
        </is>
      </c>
      <c r="M3" s="11" t="inlineStr">
        <is>
          <t>Status</t>
        </is>
      </c>
      <c r="N3" s="11" t="inlineStr">
        <is>
          <t>Key Takeaways &amp; Notes</t>
        </is>
      </c>
    </row>
    <row r="4">
      <c r="A4" s="17" t="inlineStr">
        <is>
          <t>Introduction to Edge Computing (LF Edge)</t>
        </is>
      </c>
      <c r="B4" s="17" t="inlineStr">
        <is>
          <t>LF Edge / Linux Foundation</t>
        </is>
      </c>
      <c r="C4" s="16" t="inlineStr">
        <is>
          <t>Orientation</t>
        </is>
      </c>
      <c r="D4" s="31" t="inlineStr">
        <is>
          <t>https://www.lfedge.org/resources/whitepapers/</t>
        </is>
      </c>
      <c r="E4" s="16" t="inlineStr">
        <is>
          <t>2026-09-01</t>
        </is>
      </c>
      <c r="F4" s="16" t="inlineStr">
        <is>
          <t>2026-09-07</t>
        </is>
      </c>
      <c r="G4" s="16" t="inlineStr">
        <is>
          <t>2026-09-07</t>
        </is>
      </c>
      <c r="H4" s="32" t="n">
        <v>10</v>
      </c>
      <c r="I4" s="32" t="n">
        <v>10</v>
      </c>
      <c r="J4" s="41" t="n">
        <v>1</v>
      </c>
      <c r="K4" s="16" t="n">
        <v>5</v>
      </c>
      <c r="L4" s="16" t="inlineStr">
        <is>
          <t>Free Open Access</t>
        </is>
      </c>
      <c r="M4" s="19" t="inlineStr">
        <is>
          <t>Completed</t>
        </is>
      </c>
      <c r="N4" s="17" t="inlineStr">
        <is>
          <t>Gained complete taxonomy of LF Edge projects (Akraino, EdgeX Foundry, Fledge).</t>
        </is>
      </c>
    </row>
    <row r="5">
      <c r="A5" s="13" t="inlineStr">
        <is>
          <t>CS144: Introduction to Computer Networking</t>
        </is>
      </c>
      <c r="B5" s="13" t="inlineStr">
        <is>
          <t>Stanford University</t>
        </is>
      </c>
      <c r="C5" s="12" t="inlineStr">
        <is>
          <t>Networking</t>
        </is>
      </c>
      <c r="D5" s="34" t="inlineStr">
        <is>
          <t>https://cs144.github.io/</t>
        </is>
      </c>
      <c r="E5" s="12" t="inlineStr">
        <is>
          <t>2026-09-08</t>
        </is>
      </c>
      <c r="F5" s="12" t="inlineStr">
        <is>
          <t>2026-09-22</t>
        </is>
      </c>
      <c r="G5" s="12" t="inlineStr"/>
      <c r="H5" s="35" t="n">
        <v>35</v>
      </c>
      <c r="I5" s="35" t="n">
        <v>0</v>
      </c>
      <c r="J5" s="39" t="n">
        <v>0</v>
      </c>
      <c r="K5" s="12" t="inlineStr"/>
      <c r="L5" s="12" t="inlineStr">
        <is>
          <t>Free OpenCourseWare</t>
        </is>
      </c>
      <c r="M5" s="15" t="inlineStr">
        <is>
          <t>Not Started</t>
        </is>
      </c>
      <c r="N5" s="13" t="inlineStr">
        <is>
          <t>Focusing on reliable transport, sliding window flow control, and buffer management.</t>
        </is>
      </c>
    </row>
    <row r="6">
      <c r="A6" s="17" t="inlineStr">
        <is>
          <t>CS6250: Software-Defined Networking</t>
        </is>
      </c>
      <c r="B6" s="17" t="inlineStr">
        <is>
          <t>Georgia Tech (OMSCS) / YouTube</t>
        </is>
      </c>
      <c r="C6" s="16" t="inlineStr">
        <is>
          <t>Networking</t>
        </is>
      </c>
      <c r="D6" s="31" t="inlineStr">
        <is>
          <t>https://www.youtube.com/playlist?list=PLAwxTw4SYaPkA_TlycMocPkWz_aQn_zXw</t>
        </is>
      </c>
      <c r="E6" s="16" t="inlineStr">
        <is>
          <t>2026-09-15</t>
        </is>
      </c>
      <c r="F6" s="16" t="inlineStr">
        <is>
          <t>2026-09-29</t>
        </is>
      </c>
      <c r="G6" s="16" t="inlineStr"/>
      <c r="H6" s="32" t="n">
        <v>25</v>
      </c>
      <c r="I6" s="32" t="n">
        <v>0</v>
      </c>
      <c r="J6" s="41" t="n">
        <v>0</v>
      </c>
      <c r="K6" s="16" t="inlineStr"/>
      <c r="L6" s="16" t="inlineStr">
        <is>
          <t>Free Full Lectures</t>
        </is>
      </c>
      <c r="M6" s="19" t="inlineStr">
        <is>
          <t>Not Started</t>
        </is>
      </c>
      <c r="N6" s="17" t="inlineStr">
        <is>
          <t>Essential for understanding dynamic traffic engineering and edge slicing control planes.</t>
        </is>
      </c>
    </row>
    <row r="7">
      <c r="A7" s="13" t="inlineStr">
        <is>
          <t>6.5840 / 6.824: Distributed Systems</t>
        </is>
      </c>
      <c r="B7" s="13" t="inlineStr">
        <is>
          <t>MIT CSAIL / YouTube</t>
        </is>
      </c>
      <c r="C7" s="12" t="inlineStr">
        <is>
          <t>Distributed Systems</t>
        </is>
      </c>
      <c r="D7" s="34" t="inlineStr">
        <is>
          <t>https://pdos.csail.mit.edu/6.824/</t>
        </is>
      </c>
      <c r="E7" s="12" t="inlineStr">
        <is>
          <t>2026-09-29</t>
        </is>
      </c>
      <c r="F7" s="12" t="inlineStr">
        <is>
          <t>2026-10-27</t>
        </is>
      </c>
      <c r="G7" s="12" t="inlineStr"/>
      <c r="H7" s="35" t="n">
        <v>45</v>
      </c>
      <c r="I7" s="35" t="n">
        <v>0</v>
      </c>
      <c r="J7" s="39" t="n">
        <v>0</v>
      </c>
      <c r="K7" s="12" t="inlineStr"/>
      <c r="L7" s="12" t="inlineStr">
        <is>
          <t>Free CSAIL Lectures</t>
        </is>
      </c>
      <c r="M7" s="15" t="inlineStr">
        <is>
          <t>Not Started</t>
        </is>
      </c>
      <c r="N7" s="13" t="inlineStr">
        <is>
          <t>Priority #1 core course. Crucial for Raft, RPC, fault tolerance, and distributed state machine.</t>
        </is>
      </c>
    </row>
    <row r="8">
      <c r="A8" s="17" t="inlineStr">
        <is>
          <t>Distributed Systems Theory &amp; Principles</t>
        </is>
      </c>
      <c r="B8" s="17" t="inlineStr">
        <is>
          <t>University of Cambridge / YouTube</t>
        </is>
      </c>
      <c r="C8" s="16" t="inlineStr">
        <is>
          <t>Distributed Systems</t>
        </is>
      </c>
      <c r="D8" s="31" t="inlineStr">
        <is>
          <t>https://www.youtube.com/playlist?list=PLeKd45zvjcDFUEv_ohr_HdUFe97RItdyB</t>
        </is>
      </c>
      <c r="E8" s="16" t="inlineStr">
        <is>
          <t>2026-10-06</t>
        </is>
      </c>
      <c r="F8" s="16" t="inlineStr">
        <is>
          <t>2026-10-27</t>
        </is>
      </c>
      <c r="G8" s="16" t="inlineStr"/>
      <c r="H8" s="32" t="n">
        <v>20</v>
      </c>
      <c r="I8" s="32" t="n">
        <v>0</v>
      </c>
      <c r="J8" s="41" t="n">
        <v>0</v>
      </c>
      <c r="K8" s="16" t="inlineStr"/>
      <c r="L8" s="16" t="inlineStr">
        <is>
          <t>Free Full Course</t>
        </is>
      </c>
      <c r="M8" s="19" t="inlineStr">
        <is>
          <t>Not Started</t>
        </is>
      </c>
      <c r="N8" s="17" t="inlineStr">
        <is>
          <t>Dr. Martin Kleppmann's authoritative series on replication, partitioning, and CRDTs.</t>
        </is>
      </c>
    </row>
    <row r="9">
      <c r="A9" s="13" t="inlineStr">
        <is>
          <t>Linux Containers from Scratch &amp; Hands-on Guide</t>
        </is>
      </c>
      <c r="B9" s="13" t="inlineStr">
        <is>
          <t>Open Source / Liz Rice</t>
        </is>
      </c>
      <c r="C9" s="12" t="inlineStr">
        <is>
          <t>Virtualization</t>
        </is>
      </c>
      <c r="D9" s="34" t="inlineStr">
        <is>
          <t>https://github.com/lizrice/containers-from-scratch</t>
        </is>
      </c>
      <c r="E9" s="12" t="inlineStr">
        <is>
          <t>2026-10-27</t>
        </is>
      </c>
      <c r="F9" s="12" t="inlineStr">
        <is>
          <t>2026-11-03</t>
        </is>
      </c>
      <c r="G9" s="12" t="inlineStr"/>
      <c r="H9" s="35" t="n">
        <v>14</v>
      </c>
      <c r="I9" s="35" t="n">
        <v>0</v>
      </c>
      <c r="J9" s="39" t="n">
        <v>0</v>
      </c>
      <c r="K9" s="12" t="inlineStr"/>
      <c r="L9" s="12" t="inlineStr">
        <is>
          <t>Free Open Source</t>
        </is>
      </c>
      <c r="M9" s="15" t="inlineStr">
        <is>
          <t>Not Started</t>
        </is>
      </c>
      <c r="N9" s="13" t="inlineStr">
        <is>
          <t>Deep dive into Linux namespaces, cgroups v2, and overlay storage engines.</t>
        </is>
      </c>
    </row>
    <row r="10">
      <c r="A10" s="17" t="inlineStr">
        <is>
          <t>LFS156x: Intro to Kubernetes on Edge with K3s</t>
        </is>
      </c>
      <c r="B10" s="17" t="inlineStr">
        <is>
          <t>The Linux Foundation / edX</t>
        </is>
      </c>
      <c r="C10" s="16" t="inlineStr">
        <is>
          <t>Cloud-Native</t>
        </is>
      </c>
      <c r="D10" s="31" t="inlineStr">
        <is>
          <t>https://www.edx.org/learn/kubernetes/the-linux-foundation-introduction-to-kubernetes-on-edge-with-k3s</t>
        </is>
      </c>
      <c r="E10" s="16" t="inlineStr">
        <is>
          <t>2026-11-03</t>
        </is>
      </c>
      <c r="F10" s="16" t="inlineStr">
        <is>
          <t>2026-11-17</t>
        </is>
      </c>
      <c r="G10" s="16" t="inlineStr"/>
      <c r="H10" s="32" t="n">
        <v>15</v>
      </c>
      <c r="I10" s="32" t="n">
        <v>0</v>
      </c>
      <c r="J10" s="41" t="n">
        <v>0</v>
      </c>
      <c r="K10" s="16" t="inlineStr"/>
      <c r="L10" s="16" t="inlineStr">
        <is>
          <t>Free Audit Track</t>
        </is>
      </c>
      <c r="M10" s="19" t="inlineStr">
        <is>
          <t>Not Started</t>
        </is>
      </c>
      <c r="N10" s="17" t="inlineStr">
        <is>
          <t>Practical lightweight orchestration directly tailored to edge resource constraints.</t>
        </is>
      </c>
    </row>
    <row r="11">
      <c r="A11" s="13" t="inlineStr">
        <is>
          <t>Multi-Access Edge Computing (MEC) Standards</t>
        </is>
      </c>
      <c r="B11" s="13" t="inlineStr">
        <is>
          <t>ETSI Standards Committee</t>
        </is>
      </c>
      <c r="C11" s="12" t="inlineStr">
        <is>
          <t>Edge Core</t>
        </is>
      </c>
      <c r="D11" s="34" t="inlineStr">
        <is>
          <t>https://www.etsi.org/technologies/multi-access-edge-computing</t>
        </is>
      </c>
      <c r="E11" s="12" t="inlineStr">
        <is>
          <t>2026-11-17</t>
        </is>
      </c>
      <c r="F11" s="12" t="inlineStr">
        <is>
          <t>2026-11-24</t>
        </is>
      </c>
      <c r="G11" s="12" t="inlineStr"/>
      <c r="H11" s="35" t="n">
        <v>15</v>
      </c>
      <c r="I11" s="35" t="n">
        <v>0</v>
      </c>
      <c r="J11" s="39" t="n">
        <v>0</v>
      </c>
      <c r="K11" s="12" t="inlineStr"/>
      <c r="L11" s="12" t="inlineStr">
        <is>
          <t>Free Open Standards</t>
        </is>
      </c>
      <c r="M11" s="15" t="inlineStr">
        <is>
          <t>Not Started</t>
        </is>
      </c>
      <c r="N11" s="13" t="inlineStr">
        <is>
          <t>Mastering ETSI GS MEC 003 architecture and Application Enablement Services (Mp1/Mp2).</t>
        </is>
      </c>
    </row>
    <row r="12">
      <c r="A12" s="17" t="inlineStr">
        <is>
          <t>5G Network Architecture and Slicing</t>
        </is>
      </c>
      <c r="B12" s="17" t="inlineStr">
        <is>
          <t>EURECOM / Coursera</t>
        </is>
      </c>
      <c r="C12" s="16" t="inlineStr">
        <is>
          <t>5G/6G MEC</t>
        </is>
      </c>
      <c r="D12" s="31" t="inlineStr">
        <is>
          <t>https://www.coursera.org/learn/5g-network-architecture</t>
        </is>
      </c>
      <c r="E12" s="16" t="inlineStr">
        <is>
          <t>2026-11-24</t>
        </is>
      </c>
      <c r="F12" s="16" t="inlineStr">
        <is>
          <t>2026-12-08</t>
        </is>
      </c>
      <c r="G12" s="16" t="inlineStr"/>
      <c r="H12" s="32" t="n">
        <v>20</v>
      </c>
      <c r="I12" s="32" t="n">
        <v>0</v>
      </c>
      <c r="J12" s="41" t="n">
        <v>0</v>
      </c>
      <c r="K12" s="16" t="inlineStr"/>
      <c r="L12" s="16" t="inlineStr">
        <is>
          <t>Free Audit Track</t>
        </is>
      </c>
      <c r="M12" s="19" t="inlineStr">
        <is>
          <t>Not Started</t>
        </is>
      </c>
      <c r="N12" s="17" t="inlineStr">
        <is>
          <t>Detailed breakdown of UPF edge placement, 5G Core SBA, and URLLC QoS profiles.</t>
        </is>
      </c>
    </row>
    <row r="13">
      <c r="A13" s="13" t="inlineStr">
        <is>
          <t>EE364a: Convex Optimization I</t>
        </is>
      </c>
      <c r="B13" s="13" t="inlineStr">
        <is>
          <t>Stanford University / YouTube</t>
        </is>
      </c>
      <c r="C13" s="12" t="inlineStr">
        <is>
          <t>Optimization</t>
        </is>
      </c>
      <c r="D13" s="34" t="inlineStr">
        <is>
          <t>https://web.stanford.edu/class/ee364a/</t>
        </is>
      </c>
      <c r="E13" s="12" t="inlineStr">
        <is>
          <t>2026-12-15</t>
        </is>
      </c>
      <c r="F13" s="12" t="inlineStr">
        <is>
          <t>2026-12-29</t>
        </is>
      </c>
      <c r="G13" s="12" t="inlineStr"/>
      <c r="H13" s="35" t="n">
        <v>35</v>
      </c>
      <c r="I13" s="35" t="n">
        <v>0</v>
      </c>
      <c r="J13" s="39" t="n">
        <v>0</v>
      </c>
      <c r="K13" s="12" t="inlineStr"/>
      <c r="L13" s="12" t="inlineStr">
        <is>
          <t>Free Book &amp; Lectures</t>
        </is>
      </c>
      <c r="M13" s="15" t="inlineStr">
        <is>
          <t>Not Started</t>
        </is>
      </c>
      <c r="N13" s="13" t="inlineStr">
        <is>
          <t>Mathematical backbone for formulating optimal task offloading and power control in CVXPY.</t>
        </is>
      </c>
    </row>
    <row r="14">
      <c r="A14" s="17" t="inlineStr">
        <is>
          <t>TinyML Specialization (CS249r Material)</t>
        </is>
      </c>
      <c r="B14" s="17" t="inlineStr">
        <is>
          <t>Harvard University Edge AI Lab</t>
        </is>
      </c>
      <c r="C14" s="16" t="inlineStr">
        <is>
          <t>Edge AI</t>
        </is>
      </c>
      <c r="D14" s="31" t="inlineStr">
        <is>
          <t>https://tinyml.seas.harvard.edu/</t>
        </is>
      </c>
      <c r="E14" s="16" t="inlineStr">
        <is>
          <t>2026-12-29</t>
        </is>
      </c>
      <c r="F14" s="16" t="inlineStr">
        <is>
          <t>2027-01-12</t>
        </is>
      </c>
      <c r="G14" s="16" t="inlineStr"/>
      <c r="H14" s="32" t="n">
        <v>30</v>
      </c>
      <c r="I14" s="32" t="n">
        <v>0</v>
      </c>
      <c r="J14" s="41" t="n">
        <v>0</v>
      </c>
      <c r="K14" s="16" t="inlineStr"/>
      <c r="L14" s="16" t="inlineStr">
        <is>
          <t>Free Open Material</t>
        </is>
      </c>
      <c r="M14" s="19" t="inlineStr">
        <is>
          <t>Not Started</t>
        </is>
      </c>
      <c r="N14" s="17" t="inlineStr">
        <is>
          <t>Model quantization, pruning, and low-power on-device neural network execution.</t>
        </is>
      </c>
    </row>
    <row r="15">
      <c r="A15" s="13" t="inlineStr">
        <is>
          <t>Federated Learning Frameworks &amp; Systems</t>
        </is>
      </c>
      <c r="B15" s="13" t="inlineStr">
        <is>
          <t>Flower.ai / Cambridge</t>
        </is>
      </c>
      <c r="C15" s="12" t="inlineStr">
        <is>
          <t>Edge AI</t>
        </is>
      </c>
      <c r="D15" s="34" t="inlineStr">
        <is>
          <t>https://flower.ai/docs/framework/</t>
        </is>
      </c>
      <c r="E15" s="12" t="inlineStr">
        <is>
          <t>2027-01-12</t>
        </is>
      </c>
      <c r="F15" s="12" t="inlineStr">
        <is>
          <t>2027-01-19</t>
        </is>
      </c>
      <c r="G15" s="12" t="inlineStr"/>
      <c r="H15" s="35" t="n">
        <v>20</v>
      </c>
      <c r="I15" s="35" t="n">
        <v>0</v>
      </c>
      <c r="J15" s="39" t="n">
        <v>0</v>
      </c>
      <c r="K15" s="12" t="inlineStr"/>
      <c r="L15" s="12" t="inlineStr">
        <is>
          <t>Free Open Source</t>
        </is>
      </c>
      <c r="M15" s="15" t="inlineStr">
        <is>
          <t>Not Started</t>
        </is>
      </c>
      <c r="N15" s="13" t="inlineStr">
        <is>
          <t>Decentralized model training across heterogeneous edge clients under non-IID data.</t>
        </is>
      </c>
    </row>
    <row r="16">
      <c r="A16" s="17" t="inlineStr">
        <is>
          <t>EdgeCloudSim Simulation Framework</t>
        </is>
      </c>
      <c r="B16" s="17" t="inlineStr">
        <is>
          <t>Boğaziçi University</t>
        </is>
      </c>
      <c r="C16" s="16" t="inlineStr">
        <is>
          <t>Simulation</t>
        </is>
      </c>
      <c r="D16" s="31" t="inlineStr">
        <is>
          <t>https://github.com/CagataySonmez/EdgeCloudSim</t>
        </is>
      </c>
      <c r="E16" s="16" t="inlineStr">
        <is>
          <t>2027-01-26</t>
        </is>
      </c>
      <c r="F16" s="16" t="inlineStr">
        <is>
          <t>2027-02-09</t>
        </is>
      </c>
      <c r="G16" s="16" t="inlineStr"/>
      <c r="H16" s="32" t="n">
        <v>20</v>
      </c>
      <c r="I16" s="32" t="n">
        <v>0</v>
      </c>
      <c r="J16" s="41" t="n">
        <v>0</v>
      </c>
      <c r="K16" s="16" t="inlineStr"/>
      <c r="L16" s="16" t="inlineStr">
        <is>
          <t>Free Open Source</t>
        </is>
      </c>
      <c r="M16" s="19" t="inlineStr">
        <is>
          <t>Not Started</t>
        </is>
      </c>
      <c r="N16" s="17" t="inlineStr">
        <is>
          <t>Primary research simulation platform for capstone experimental evaluation.</t>
        </is>
      </c>
    </row>
    <row r="17">
      <c r="A17" s="13" t="inlineStr">
        <is>
          <t>Writing in the Sciences &amp; Academic Publishing</t>
        </is>
      </c>
      <c r="B17" s="13" t="inlineStr">
        <is>
          <t>Stanford Online / Coursera</t>
        </is>
      </c>
      <c r="C17" s="12" t="inlineStr">
        <is>
          <t>Research Methods</t>
        </is>
      </c>
      <c r="D17" s="34" t="inlineStr">
        <is>
          <t>https://www.coursera.org/learn/sciwrite</t>
        </is>
      </c>
      <c r="E17" s="12" t="inlineStr">
        <is>
          <t>2027-02-09</t>
        </is>
      </c>
      <c r="F17" s="12" t="inlineStr">
        <is>
          <t>2027-02-23</t>
        </is>
      </c>
      <c r="G17" s="12" t="inlineStr"/>
      <c r="H17" s="35" t="n">
        <v>15</v>
      </c>
      <c r="I17" s="35" t="n">
        <v>0</v>
      </c>
      <c r="J17" s="39" t="n">
        <v>0</v>
      </c>
      <c r="K17" s="12" t="inlineStr"/>
      <c r="L17" s="12" t="inlineStr">
        <is>
          <t>Free Audit Track</t>
        </is>
      </c>
      <c r="M17" s="15" t="inlineStr">
        <is>
          <t>Not Started</t>
        </is>
      </c>
      <c r="N17" s="13" t="inlineStr">
        <is>
          <t>Mastering academic manuscript structure, abstract drafting, and PhD proposal writing.</t>
        </is>
      </c>
    </row>
  </sheetData>
  <mergeCells count="1">
    <mergeCell ref="A1:N2"/>
  </mergeCells>
  <conditionalFormatting sqref="M4:M25">
    <cfRule type="cellIs" priority="1" operator="equal" dxfId="0" stopIfTrue="1">
      <formula>"Completed"</formula>
    </cfRule>
    <cfRule type="cellIs" priority="2" operator="equal" dxfId="1" stopIfTrue="1">
      <formula>"In Progress"</formula>
    </cfRule>
    <cfRule type="cellIs" priority="3" operator="equal" dxfId="2" stopIfTrue="1">
      <formula>"Not Started"</formula>
    </cfRule>
    <cfRule type="cellIs" priority="4" operator="equal" dxfId="0" stopIfTrue="1">
      <formula>"Achieved"</formula>
    </cfRule>
  </conditionalFormatting>
  <dataValidations count="1">
    <dataValidation sqref="M4:M25 N4:N27 V4:V35" showDropDown="0" showInputMessage="0" showErrorMessage="0" allowBlank="1" type="list">
      <formula1>"Not Started,In Progress,Completed,Skipped,Needs Review"</formula1>
    </dataValidation>
  </dataValidation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7"/>
  <sheetViews>
    <sheetView showGridLines="1"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28" customWidth="1" min="2" max="2"/>
    <col width="10" customWidth="1" min="3" max="3"/>
    <col width="25" customWidth="1" min="4" max="4"/>
    <col width="35" customWidth="1" min="5" max="5"/>
    <col width="22" customWidth="1" min="6" max="6"/>
    <col width="18" customWidth="1" min="7" max="7"/>
    <col width="14" customWidth="1" min="8" max="8"/>
    <col width="10" customWidth="1" min="9" max="9"/>
    <col width="16" customWidth="1" min="10" max="10"/>
    <col width="18" customWidth="1" min="11" max="11"/>
    <col width="20" customWidth="1" min="12" max="12"/>
    <col width="35" customWidth="1" min="13" max="13"/>
    <col width="38" customWidth="1" min="14" max="14"/>
    <col width="28" customWidth="1" min="15" max="15"/>
    <col width="35" customWidth="1" min="16" max="16"/>
  </cols>
  <sheetData>
    <row r="1">
      <c r="A1" s="1" t="inlineStr">
        <is>
          <t>RESEARCH PAPER READING &amp; CRITICAL ANALYSIS TRACKER (100% OPEN ACCESS)</t>
        </is>
      </c>
    </row>
    <row r="2"/>
    <row r="3">
      <c r="A3" s="2" t="inlineStr">
        <is>
          <t>Deconstruct seminal and modern literature. All papers available via direct Open Access, arXiv, or institutional repositories.</t>
        </is>
      </c>
    </row>
    <row r="4" ht="28" customHeight="1">
      <c r="A4" s="11" t="inlineStr">
        <is>
          <t>Paper Title</t>
        </is>
      </c>
      <c r="B4" s="11" t="inlineStr">
        <is>
          <t>Authors</t>
        </is>
      </c>
      <c r="C4" s="11" t="inlineStr">
        <is>
          <t>Year</t>
        </is>
      </c>
      <c r="D4" s="11" t="inlineStr">
        <is>
          <t>Journal / Conference</t>
        </is>
      </c>
      <c r="E4" s="11" t="inlineStr">
        <is>
          <t>Open Access Link / DOI</t>
        </is>
      </c>
      <c r="F4" s="11" t="inlineStr">
        <is>
          <t>Thematic Domain</t>
        </is>
      </c>
      <c r="G4" s="11" t="inlineStr">
        <is>
          <t>Difficulty Tier</t>
        </is>
      </c>
      <c r="H4" s="11" t="inlineStr">
        <is>
          <t>Target Week</t>
        </is>
      </c>
      <c r="I4" s="11" t="inlineStr">
        <is>
          <t>Read?</t>
        </is>
      </c>
      <c r="J4" s="11" t="inlineStr">
        <is>
          <t>Summary Written?</t>
        </is>
      </c>
      <c r="K4" s="11" t="inlineStr">
        <is>
          <t>Research Question Identified?</t>
        </is>
      </c>
      <c r="L4" s="11" t="inlineStr">
        <is>
          <t>Methodology Category</t>
        </is>
      </c>
      <c r="M4" s="11" t="inlineStr">
        <is>
          <t>Key Limitations Identified</t>
        </is>
      </c>
      <c r="N4" s="11" t="inlineStr">
        <is>
          <t>Potential Research Gap</t>
        </is>
      </c>
      <c r="O4" s="11" t="inlineStr">
        <is>
          <t>Key Citations / Related Papers</t>
        </is>
      </c>
      <c r="P4" s="11" t="inlineStr">
        <is>
          <t>Research Reflections</t>
        </is>
      </c>
    </row>
    <row r="5">
      <c r="A5" s="13" t="inlineStr">
        <is>
          <t>The Case for VM-Based Cloudlets in Mobile Computing</t>
        </is>
      </c>
      <c r="B5" s="13" t="inlineStr">
        <is>
          <t>M. Satyanarayanan, P. Bahl, R. Caceres, N. Davies</t>
        </is>
      </c>
      <c r="C5" s="12" t="n">
        <v>2009</v>
      </c>
      <c r="D5" s="13" t="inlineStr">
        <is>
          <t>IEEE Pervasive Computing</t>
        </is>
      </c>
      <c r="E5" s="34" t="inlineStr">
        <is>
          <t>https://doi.org/10.1109/MPRV.2009.82</t>
        </is>
      </c>
      <c r="F5" s="12" t="inlineStr">
        <is>
          <t>Cloudlets / Edge Foundations</t>
        </is>
      </c>
      <c r="G5" s="12" t="inlineStr">
        <is>
          <t>Seminal Landmark</t>
        </is>
      </c>
      <c r="H5" s="12" t="inlineStr">
        <is>
          <t>Week 2</t>
        </is>
      </c>
      <c r="I5" s="12" t="inlineStr">
        <is>
          <t>Yes</t>
        </is>
      </c>
      <c r="J5" s="12" t="inlineStr">
        <is>
          <t>Yes</t>
        </is>
      </c>
      <c r="K5" s="12" t="inlineStr">
        <is>
          <t>Yes</t>
        </is>
      </c>
      <c r="L5" s="12" t="inlineStr">
        <is>
          <t>Empirical Testbed</t>
        </is>
      </c>
      <c r="M5" s="13" t="inlineStr">
        <is>
          <t>Heavy VM provisioning latency (seconds); lack of dynamic container migration.</t>
        </is>
      </c>
      <c r="N5" s="13" t="inlineStr">
        <is>
          <t>Lightweight containerized micro-cloudlets with sub-second handoff.</t>
        </is>
      </c>
      <c r="O5" s="13" t="inlineStr">
        <is>
          <t>Satyanarayanan (2017), Bonomi (2012)</t>
        </is>
      </c>
      <c r="P5" s="13" t="inlineStr">
        <is>
          <t>Foundational concept: 1-hop wireless proximity to alleviate WAN latency.</t>
        </is>
      </c>
    </row>
    <row r="6">
      <c r="A6" s="17" t="inlineStr">
        <is>
          <t>Fog Computing and Its Role in the Internet of Things</t>
        </is>
      </c>
      <c r="B6" s="17" t="inlineStr">
        <is>
          <t>F. Bonomi, R. Milito, J. Zhu, S. Addepalli</t>
        </is>
      </c>
      <c r="C6" s="16" t="n">
        <v>2012</v>
      </c>
      <c r="D6" s="17" t="inlineStr">
        <is>
          <t>ACM MCC Workshop</t>
        </is>
      </c>
      <c r="E6" s="31" t="inlineStr">
        <is>
          <t>https://doi.org/10.1145/2342509.2342513</t>
        </is>
      </c>
      <c r="F6" s="16" t="inlineStr">
        <is>
          <t>Fog Computing</t>
        </is>
      </c>
      <c r="G6" s="16" t="inlineStr">
        <is>
          <t>Seminal Landmark</t>
        </is>
      </c>
      <c r="H6" s="16" t="inlineStr">
        <is>
          <t>Week 1</t>
        </is>
      </c>
      <c r="I6" s="16" t="inlineStr">
        <is>
          <t>Yes</t>
        </is>
      </c>
      <c r="J6" s="16" t="inlineStr">
        <is>
          <t>Yes</t>
        </is>
      </c>
      <c r="K6" s="16" t="inlineStr">
        <is>
          <t>Yes</t>
        </is>
      </c>
      <c r="L6" s="16" t="inlineStr">
        <is>
          <t>Analytical / Conceptual</t>
        </is>
      </c>
      <c r="M6" s="17" t="inlineStr">
        <is>
          <t>Conceptual taxonomy without formal mathematical resource allocation models.</t>
        </is>
      </c>
      <c r="N6" s="17" t="inlineStr">
        <is>
          <t>Multi-tenant QoS isolation across heterogeneous fog nodes.</t>
        </is>
      </c>
      <c r="O6" s="17" t="inlineStr">
        <is>
          <t>Chiang &amp; Zhang (2016), Buyya (2016)</t>
        </is>
      </c>
      <c r="P6" s="17" t="inlineStr">
        <is>
          <t>Introduced hierarchical fog layer between sensors and centralized cloud.</t>
        </is>
      </c>
    </row>
    <row r="7">
      <c r="A7" s="13" t="inlineStr">
        <is>
          <t>Edge Computing: Vision and Challenges</t>
        </is>
      </c>
      <c r="B7" s="13" t="inlineStr">
        <is>
          <t>W. Shi, J. Cao, Q. Zhang, Y. Li, L. Xu</t>
        </is>
      </c>
      <c r="C7" s="12" t="n">
        <v>2016</v>
      </c>
      <c r="D7" s="13" t="inlineStr">
        <is>
          <t>IEEE Internet of Things Journal</t>
        </is>
      </c>
      <c r="E7" s="34" t="inlineStr">
        <is>
          <t>https://doi.org/10.1109/JIOT.2016.2579198</t>
        </is>
      </c>
      <c r="F7" s="12" t="inlineStr">
        <is>
          <t>Edge Vision &amp; Architecture</t>
        </is>
      </c>
      <c r="G7" s="12" t="inlineStr">
        <is>
          <t>Seminal Landmark</t>
        </is>
      </c>
      <c r="H7" s="12" t="inlineStr">
        <is>
          <t>Week 1</t>
        </is>
      </c>
      <c r="I7" s="12" t="inlineStr">
        <is>
          <t>Yes</t>
        </is>
      </c>
      <c r="J7" s="12" t="inlineStr">
        <is>
          <t>Yes</t>
        </is>
      </c>
      <c r="K7" s="12" t="inlineStr">
        <is>
          <t>Yes</t>
        </is>
      </c>
      <c r="L7" s="12" t="inlineStr">
        <is>
          <t>Survey &amp; Architecture</t>
        </is>
      </c>
      <c r="M7" s="13" t="inlineStr">
        <is>
          <t>Broad overview; does not benchmark specific multi-tier offloading algorithms.</t>
        </is>
      </c>
      <c r="N7" s="13" t="inlineStr">
        <is>
          <t>Edge data provenance, multi-stakeholder security, and programmability.</t>
        </is>
      </c>
      <c r="O7" s="13" t="inlineStr">
        <is>
          <t>Shi et al. (2019), Varghese et al. (2016)</t>
        </is>
      </c>
      <c r="P7" s="13" t="inlineStr">
        <is>
          <t>The most cited edge computing paper. Defined edge operating system requirements.</t>
        </is>
      </c>
    </row>
    <row r="8">
      <c r="A8" s="17" t="inlineStr">
        <is>
          <t>A Survey on Mobile Edge Computing: The Communication Perspective</t>
        </is>
      </c>
      <c r="B8" s="17" t="inlineStr">
        <is>
          <t>Y. Mao, C. You, J. Zhang, K. Huang, K. B. Letaief</t>
        </is>
      </c>
      <c r="C8" s="16" t="n">
        <v>2017</v>
      </c>
      <c r="D8" s="17" t="inlineStr">
        <is>
          <t>IEEE Communications Surveys &amp; Tutorials</t>
        </is>
      </c>
      <c r="E8" s="31" t="inlineStr">
        <is>
          <t>https://doi.org/10.1109/COMST.2017.2745201</t>
        </is>
      </c>
      <c r="F8" s="16" t="inlineStr">
        <is>
          <t>MEC &amp; Communication</t>
        </is>
      </c>
      <c r="G8" s="16" t="inlineStr">
        <is>
          <t>Advanced</t>
        </is>
      </c>
      <c r="H8" s="16" t="inlineStr">
        <is>
          <t>Week 12</t>
        </is>
      </c>
      <c r="I8" s="16" t="inlineStr">
        <is>
          <t>No</t>
        </is>
      </c>
      <c r="J8" s="16" t="inlineStr">
        <is>
          <t>No</t>
        </is>
      </c>
      <c r="K8" s="16" t="inlineStr">
        <is>
          <t>No</t>
        </is>
      </c>
      <c r="L8" s="16" t="inlineStr">
        <is>
          <t>Survey &amp; Theoretical</t>
        </is>
      </c>
      <c r="M8" s="17" t="inlineStr">
        <is>
          <t>Primarily physical and MAC layer focused; limited treatment of container orchestration.</t>
        </is>
      </c>
      <c r="N8" s="17" t="inlineStr">
        <is>
          <t>Joint optimization of wireless transmission energy and edge server compute energy.</t>
        </is>
      </c>
      <c r="O8" s="17" t="inlineStr">
        <is>
          <t>Mach &amp; Becvar (2017), Taleb (2017)</t>
        </is>
      </c>
      <c r="P8" s="17" t="inlineStr">
        <is>
          <t>Exhaustive communication and radio resource allocation models for offloading.</t>
        </is>
      </c>
    </row>
    <row r="9">
      <c r="A9" s="13" t="inlineStr">
        <is>
          <t>Communication-Efficient Learning of Deep Networks from Decentralized Data</t>
        </is>
      </c>
      <c r="B9" s="13" t="inlineStr">
        <is>
          <t>H. B. McMahan, E. Moore, D. Ramage, S. Hampson, B. A. y Arcas</t>
        </is>
      </c>
      <c r="C9" s="12" t="n">
        <v>2017</v>
      </c>
      <c r="D9" s="13" t="inlineStr">
        <is>
          <t>AISTATS (arXiv Open Access)</t>
        </is>
      </c>
      <c r="E9" s="34" t="inlineStr">
        <is>
          <t>https://arxiv.org/abs/1602.05629</t>
        </is>
      </c>
      <c r="F9" s="12" t="inlineStr">
        <is>
          <t>Federated Learning</t>
        </is>
      </c>
      <c r="G9" s="12" t="inlineStr">
        <is>
          <t>Seminal Landmark</t>
        </is>
      </c>
      <c r="H9" s="12" t="inlineStr">
        <is>
          <t>Week 19</t>
        </is>
      </c>
      <c r="I9" s="12" t="inlineStr">
        <is>
          <t>No</t>
        </is>
      </c>
      <c r="J9" s="12" t="inlineStr">
        <is>
          <t>No</t>
        </is>
      </c>
      <c r="K9" s="12" t="inlineStr">
        <is>
          <t>No</t>
        </is>
      </c>
      <c r="L9" s="12" t="inlineStr">
        <is>
          <t>Algorithmic &amp; Empirical</t>
        </is>
      </c>
      <c r="M9" s="13" t="inlineStr">
        <is>
          <t>Assumes uniform communication rounds; fragile under highly non-IID and straggler clients.</t>
        </is>
      </c>
      <c r="N9" s="13" t="inlineStr">
        <is>
          <t>Adaptive client selection and asynchronous gradient aggregation at the edge.</t>
        </is>
      </c>
      <c r="O9" s="13" t="inlineStr">
        <is>
          <t>Kairouz et al. (2021), Li et al. (FedProx 2020)</t>
        </is>
      </c>
      <c r="P9" s="13" t="inlineStr">
        <is>
          <t>Introduced the FedAvg algorithm, pioneering decentralized edge learning.</t>
        </is>
      </c>
    </row>
    <row r="10">
      <c r="A10" s="17" t="inlineStr">
        <is>
          <t>Edge Intelligence: Paving the Last Mile of Artificial Intelligence</t>
        </is>
      </c>
      <c r="B10" s="17" t="inlineStr">
        <is>
          <t>Z. Zhou, X. Chen, E. Li, L. Zeng, K. Luo, J. Zhang</t>
        </is>
      </c>
      <c r="C10" s="16" t="n">
        <v>2019</v>
      </c>
      <c r="D10" s="17" t="inlineStr">
        <is>
          <t>Proceedings of the IEEE (arXiv)</t>
        </is>
      </c>
      <c r="E10" s="31" t="inlineStr">
        <is>
          <t>https://arxiv.org/abs/1811.08504</t>
        </is>
      </c>
      <c r="F10" s="16" t="inlineStr">
        <is>
          <t>Edge AI</t>
        </is>
      </c>
      <c r="G10" s="16" t="inlineStr">
        <is>
          <t>Advanced</t>
        </is>
      </c>
      <c r="H10" s="16" t="inlineStr">
        <is>
          <t>Week 17</t>
        </is>
      </c>
      <c r="I10" s="16" t="inlineStr">
        <is>
          <t>No</t>
        </is>
      </c>
      <c r="J10" s="16" t="inlineStr">
        <is>
          <t>No</t>
        </is>
      </c>
      <c r="K10" s="16" t="inlineStr">
        <is>
          <t>No</t>
        </is>
      </c>
      <c r="L10" s="16" t="inlineStr">
        <is>
          <t>Survey &amp; Taxonomy</t>
        </is>
      </c>
      <c r="M10" s="17" t="inlineStr">
        <is>
          <t>Lacks empirical benchmarks comparing split inference vs full local inference.</t>
        </is>
      </c>
      <c r="N10" s="17" t="inlineStr">
        <is>
          <t>Dynamic split point adaptation based on real-time wireless channel coherence time.</t>
        </is>
      </c>
      <c r="O10" s="17" t="inlineStr">
        <is>
          <t>Wang et al. (2020), Deng et al. (2020)</t>
        </is>
      </c>
      <c r="P10" s="17" t="inlineStr">
        <is>
          <t>Established clear distinction between 'AI for Edge' and 'Edge for AI'.</t>
        </is>
      </c>
    </row>
    <row r="11">
      <c r="A11" s="13" t="inlineStr">
        <is>
          <t>Convergence of Edge Computing and Deep Learning: A Comprehensive Survey</t>
        </is>
      </c>
      <c r="B11" s="13" t="inlineStr">
        <is>
          <t>X. Wang, Y. Han, V. C. Leung, D. Niyato, X. Yan, X. Chen</t>
        </is>
      </c>
      <c r="C11" s="12" t="n">
        <v>2020</v>
      </c>
      <c r="D11" s="13" t="inlineStr">
        <is>
          <t>IEEE CST (arXiv Open Access)</t>
        </is>
      </c>
      <c r="E11" s="34" t="inlineStr">
        <is>
          <t>https://arxiv.org/abs/1907.08349</t>
        </is>
      </c>
      <c r="F11" s="12" t="inlineStr">
        <is>
          <t>Edge Deep Learning</t>
        </is>
      </c>
      <c r="G11" s="12" t="inlineStr">
        <is>
          <t>Advanced</t>
        </is>
      </c>
      <c r="H11" s="12" t="inlineStr">
        <is>
          <t>Week 22</t>
        </is>
      </c>
      <c r="I11" s="12" t="inlineStr">
        <is>
          <t>No</t>
        </is>
      </c>
      <c r="J11" s="12" t="inlineStr">
        <is>
          <t>No</t>
        </is>
      </c>
      <c r="K11" s="12" t="inlineStr">
        <is>
          <t>No</t>
        </is>
      </c>
      <c r="L11" s="12" t="inlineStr">
        <is>
          <t>Survey &amp; Algorithmic</t>
        </is>
      </c>
      <c r="M11" s="13" t="inlineStr">
        <is>
          <t>High-level overview without source code artifacts for simulator benchmarking.</t>
        </is>
      </c>
      <c r="N11" s="13" t="inlineStr">
        <is>
          <t>Co-design of neural model compression and wireless channel state awareness.</t>
        </is>
      </c>
      <c r="O11" s="13" t="inlineStr">
        <is>
          <t>Zhou et al. (2019), Kairouz (2021)</t>
        </is>
      </c>
      <c r="P11" s="13" t="inlineStr">
        <is>
          <t>Covers deep learning inference, training, and edge-cloud collaborative pipelines.</t>
        </is>
      </c>
    </row>
    <row r="12">
      <c r="A12" s="17" t="inlineStr">
        <is>
          <t>Computation Offloading in Mobile Edge Computing: A Survey</t>
        </is>
      </c>
      <c r="B12" s="17" t="inlineStr">
        <is>
          <t>S. Deng, L. Huang, J. Taheri, A. Y. Zomaya</t>
        </is>
      </c>
      <c r="C12" s="16" t="n">
        <v>2020</v>
      </c>
      <c r="D12" s="17" t="inlineStr">
        <is>
          <t>IEEE Access (Fully Open Access)</t>
        </is>
      </c>
      <c r="E12" s="31" t="inlineStr">
        <is>
          <t>https://doi.org/10.1109/ACCESS.2020.2978114</t>
        </is>
      </c>
      <c r="F12" s="16" t="inlineStr">
        <is>
          <t>Task Offloading</t>
        </is>
      </c>
      <c r="G12" s="16" t="inlineStr">
        <is>
          <t>Advanced</t>
        </is>
      </c>
      <c r="H12" s="16" t="inlineStr">
        <is>
          <t>Week 15</t>
        </is>
      </c>
      <c r="I12" s="16" t="inlineStr">
        <is>
          <t>No</t>
        </is>
      </c>
      <c r="J12" s="16" t="inlineStr">
        <is>
          <t>No</t>
        </is>
      </c>
      <c r="K12" s="16" t="inlineStr">
        <is>
          <t>No</t>
        </is>
      </c>
      <c r="L12" s="16" t="inlineStr">
        <is>
          <t>Survey &amp; Mathematical</t>
        </is>
      </c>
      <c r="M12" s="17" t="inlineStr">
        <is>
          <t>Many surveyed algorithms assume static topologies; fragile under high mobility.</t>
        </is>
      </c>
      <c r="N12" s="17" t="inlineStr">
        <is>
          <t>Mobility-aware proactive task migration using deep reinforcement learning.</t>
        </is>
      </c>
      <c r="O12" s="17" t="inlineStr">
        <is>
          <t>Mao (2017), Mach (2017)</t>
        </is>
      </c>
      <c r="P12" s="17" t="inlineStr">
        <is>
          <t>Systematic taxonomy of binary vs partial offloading and scheduling metrics.</t>
        </is>
      </c>
    </row>
    <row r="13">
      <c r="A13" s="13" t="inlineStr">
        <is>
          <t>Advances and Open Problems in Federated Learning</t>
        </is>
      </c>
      <c r="B13" s="13" t="inlineStr">
        <is>
          <t>P. Kairouz et al. (Google Research &amp; 50+ Co-authors)</t>
        </is>
      </c>
      <c r="C13" s="12" t="n">
        <v>2021</v>
      </c>
      <c r="D13" s="13" t="inlineStr">
        <is>
          <t>Foundations and Trends in ML (arXiv)</t>
        </is>
      </c>
      <c r="E13" s="34" t="inlineStr">
        <is>
          <t>https://arxiv.org/abs/1912.04977</t>
        </is>
      </c>
      <c r="F13" s="12" t="inlineStr">
        <is>
          <t>Federated Learning &amp; Privacy</t>
        </is>
      </c>
      <c r="G13" s="12" t="inlineStr">
        <is>
          <t>Graduate</t>
        </is>
      </c>
      <c r="H13" s="12" t="inlineStr">
        <is>
          <t>Week 20</t>
        </is>
      </c>
      <c r="I13" s="12" t="inlineStr">
        <is>
          <t>No</t>
        </is>
      </c>
      <c r="J13" s="12" t="inlineStr">
        <is>
          <t>No</t>
        </is>
      </c>
      <c r="K13" s="12" t="inlineStr">
        <is>
          <t>No</t>
        </is>
      </c>
      <c r="L13" s="12" t="inlineStr">
        <is>
          <t>Comprehensive Treatise</t>
        </is>
      </c>
      <c r="M13" s="13" t="inlineStr">
        <is>
          <t>Massive breadth makes hardware-specific edge constraints secondary focus.</t>
        </is>
      </c>
      <c r="N13" s="13" t="inlineStr">
        <is>
          <t>Joint differential privacy, secure aggregation, and resource-constrained execution.</t>
        </is>
      </c>
      <c r="O13" s="13" t="inlineStr">
        <is>
          <t>McMahan (2017), Bonawitz (2019)</t>
        </is>
      </c>
      <c r="P13" s="13" t="inlineStr">
        <is>
          <t>The definitive 200+ page handbook on federated learning open problems.</t>
        </is>
      </c>
    </row>
    <row r="14">
      <c r="A14" s="17" t="inlineStr">
        <is>
          <t>A Vision of 6G Wireless Systems: Applications, Trends, Technologies</t>
        </is>
      </c>
      <c r="B14" s="17" t="inlineStr">
        <is>
          <t>W. Saad, M. Bennis, M. Chen</t>
        </is>
      </c>
      <c r="C14" s="16" t="n">
        <v>2020</v>
      </c>
      <c r="D14" s="17" t="inlineStr">
        <is>
          <t>IEEE Network (arXiv Open Access)</t>
        </is>
      </c>
      <c r="E14" s="31" t="inlineStr">
        <is>
          <t>https://arxiv.org/abs/1902.06700</t>
        </is>
      </c>
      <c r="F14" s="16" t="inlineStr">
        <is>
          <t>6G &amp; Future Edge</t>
        </is>
      </c>
      <c r="G14" s="16" t="inlineStr">
        <is>
          <t>Advanced</t>
        </is>
      </c>
      <c r="H14" s="16" t="inlineStr">
        <is>
          <t>Week 14</t>
        </is>
      </c>
      <c r="I14" s="16" t="inlineStr">
        <is>
          <t>No</t>
        </is>
      </c>
      <c r="J14" s="16" t="inlineStr">
        <is>
          <t>No</t>
        </is>
      </c>
      <c r="K14" s="16" t="inlineStr">
        <is>
          <t>No</t>
        </is>
      </c>
      <c r="L14" s="16" t="inlineStr">
        <is>
          <t>Visionary &amp; Analytical</t>
        </is>
      </c>
      <c r="M14" s="17" t="inlineStr">
        <is>
          <t>Exploratory vision; experimental terahertz testbeds were still emergent.</t>
        </is>
      </c>
      <c r="N14" s="17" t="inlineStr">
        <is>
          <t>Integrated sensing, communication, and computation (ISCC) at cell-free edge.</t>
        </is>
      </c>
      <c r="O14" s="17" t="inlineStr">
        <is>
          <t>Latva-aho (2020), Taleb (2017)</t>
        </is>
      </c>
      <c r="P14" s="17" t="inlineStr">
        <is>
          <t>Outlines transition from connected things to connected intelligence in 6G.</t>
        </is>
      </c>
    </row>
    <row r="15">
      <c r="A15" s="13" t="inlineStr">
        <is>
          <t>EdgeCloudSim: An Environment for Performance Evaluation of Edge Computing</t>
        </is>
      </c>
      <c r="B15" s="13" t="inlineStr">
        <is>
          <t>C. Sonmez, A. Ozgovde, C. Ersoy</t>
        </is>
      </c>
      <c r="C15" s="12" t="n">
        <v>2018</v>
      </c>
      <c r="D15" s="13" t="inlineStr">
        <is>
          <t>ETT (Open Access Preprint)</t>
        </is>
      </c>
      <c r="E15" s="34" t="inlineStr">
        <is>
          <t>https://doi.org/10.1002/ett.3493</t>
        </is>
      </c>
      <c r="F15" s="12" t="inlineStr">
        <is>
          <t>Simulation &amp; Testbeds</t>
        </is>
      </c>
      <c r="G15" s="12" t="inlineStr">
        <is>
          <t>Intermediate</t>
        </is>
      </c>
      <c r="H15" s="12" t="inlineStr">
        <is>
          <t>Week 21</t>
        </is>
      </c>
      <c r="I15" s="12" t="inlineStr">
        <is>
          <t>No</t>
        </is>
      </c>
      <c r="J15" s="12" t="inlineStr">
        <is>
          <t>No</t>
        </is>
      </c>
      <c r="K15" s="12" t="inlineStr">
        <is>
          <t>No</t>
        </is>
      </c>
      <c r="L15" s="12" t="inlineStr">
        <is>
          <t>Simulation Framework</t>
        </is>
      </c>
      <c r="M15" s="13" t="inlineStr">
        <is>
          <t>Simplified WLAN contention model; does not emulate full packet-level 5G protocols.</t>
        </is>
      </c>
      <c r="N15" s="13" t="inlineStr">
        <is>
          <t>Integration of realistic 5G NR channel models with EdgeCloudSim broker.</t>
        </is>
      </c>
      <c r="O15" s="13" t="inlineStr">
        <is>
          <t>Calheiros (CloudSim 2011), Gupta (iFogSim 2017)</t>
        </is>
      </c>
      <c r="P15" s="13" t="inlineStr">
        <is>
          <t>Essential reading to understand EdgeCloudSim architecture before capstone.</t>
        </is>
      </c>
    </row>
    <row r="16">
      <c r="A16" s="17" t="inlineStr">
        <is>
          <t>Conflict-Free Replicated Data Types</t>
        </is>
      </c>
      <c r="B16" s="17" t="inlineStr">
        <is>
          <t>M. Shapiro, N. Preguiça, C. Baquero, M. Zawirski</t>
        </is>
      </c>
      <c r="C16" s="16" t="n">
        <v>2011</v>
      </c>
      <c r="D16" s="17" t="inlineStr">
        <is>
          <t>SSS (INRIA Open Access Archive)</t>
        </is>
      </c>
      <c r="E16" s="31" t="inlineStr">
        <is>
          <t>https://inria.hal.science/inria-00555588</t>
        </is>
      </c>
      <c r="F16" s="16" t="inlineStr">
        <is>
          <t>Distributed Consistency</t>
        </is>
      </c>
      <c r="G16" s="16" t="inlineStr">
        <is>
          <t>Seminal Landmark</t>
        </is>
      </c>
      <c r="H16" s="16" t="inlineStr">
        <is>
          <t>Week 8</t>
        </is>
      </c>
      <c r="I16" s="16" t="inlineStr">
        <is>
          <t>No</t>
        </is>
      </c>
      <c r="J16" s="16" t="inlineStr">
        <is>
          <t>No</t>
        </is>
      </c>
      <c r="K16" s="16" t="inlineStr">
        <is>
          <t>No</t>
        </is>
      </c>
      <c r="L16" s="16" t="inlineStr">
        <is>
          <t>Theoretical &amp; Proofs</t>
        </is>
      </c>
      <c r="M16" s="17" t="inlineStr">
        <is>
          <t>State-based CRDTs suffer from unbounded metadata growth over long disconnections.</t>
        </is>
      </c>
      <c r="N16" s="17" t="inlineStr">
        <is>
          <t>Garbage collection and delta-based CRDT optimization for low-memory edge nodes.</t>
        </is>
      </c>
      <c r="O16" s="17" t="inlineStr">
        <is>
          <t>Lamport (1978), Kleppmann (2023)</t>
        </is>
      </c>
      <c r="P16" s="17" t="inlineStr">
        <is>
          <t>Pioneered mathematically provable eventual consistency without central locking.</t>
        </is>
      </c>
    </row>
    <row r="17">
      <c r="A17" s="13" t="inlineStr">
        <is>
          <t>Serverless Computing on Gaussion Edge: A Survey</t>
        </is>
      </c>
      <c r="B17" s="13" t="inlineStr">
        <is>
          <t>Y. Li, Y. Lin, Y. Wang, K. Ye, C. Xu</t>
        </is>
      </c>
      <c r="C17" s="12" t="n">
        <v>2022</v>
      </c>
      <c r="D17" s="13" t="inlineStr">
        <is>
          <t>ACM Computing Surveys (arXiv)</t>
        </is>
      </c>
      <c r="E17" s="34" t="inlineStr">
        <is>
          <t>https://arxiv.org/abs/2202.04936</t>
        </is>
      </c>
      <c r="F17" s="12" t="inlineStr">
        <is>
          <t>Edge Serverless / FaaS</t>
        </is>
      </c>
      <c r="G17" s="12" t="inlineStr">
        <is>
          <t>Advanced</t>
        </is>
      </c>
      <c r="H17" s="12" t="inlineStr">
        <is>
          <t>Week 11</t>
        </is>
      </c>
      <c r="I17" s="12" t="inlineStr">
        <is>
          <t>No</t>
        </is>
      </c>
      <c r="J17" s="12" t="inlineStr">
        <is>
          <t>No</t>
        </is>
      </c>
      <c r="K17" s="12" t="inlineStr">
        <is>
          <t>No</t>
        </is>
      </c>
      <c r="L17" s="12" t="inlineStr">
        <is>
          <t>Survey &amp; Architecture</t>
        </is>
      </c>
      <c r="M17" s="13" t="inlineStr">
        <is>
          <t>Does not address hardware acceleration (Edge TPU/NPU) sharing in serverless.</t>
        </is>
      </c>
      <c r="N17" s="13" t="inlineStr">
        <is>
          <t>Predictive container pre-warming using lightweight time-series forecasters.</t>
        </is>
      </c>
      <c r="O17" s="13" t="inlineStr">
        <is>
          <t>Jonas et al. (Berkeley 2019)</t>
        </is>
      </c>
      <c r="P17" s="13" t="inlineStr">
        <is>
          <t>Surveys cold-start mitigation, function scheduling, and micro-billing at the edge.</t>
        </is>
      </c>
    </row>
  </sheetData>
  <mergeCells count="2">
    <mergeCell ref="A1:P2"/>
    <mergeCell ref="A3:P3"/>
  </mergeCells>
  <conditionalFormatting sqref="I5:I25">
    <cfRule type="cellIs" priority="1" operator="equal" dxfId="0" stopIfTrue="1">
      <formula>"Yes"</formula>
    </cfRule>
    <cfRule type="cellIs" priority="2" operator="equal" dxfId="1" stopIfTrue="1">
      <formula>"In Progress"</formula>
    </cfRule>
    <cfRule type="cellIs" priority="3" operator="equal" dxfId="2" stopIfTrue="1">
      <formula>"No"</formula>
    </cfRule>
  </conditionalFormatting>
  <dataValidations count="2">
    <dataValidation sqref="I5:I25" showDropDown="0" showInputMessage="0" showErrorMessage="0" allowBlank="1" type="list">
      <formula1>"Yes,In Progress,No"</formula1>
    </dataValidation>
    <dataValidation sqref="J5:L25" showDropDown="0" showInputMessage="0" showErrorMessage="0" allowBlank="1" type="list">
      <formula1>"Yes,No"</formula1>
    </dataValidation>
  </dataValidation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showGridLines="1"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4" customWidth="1" min="2" max="2"/>
    <col width="35" customWidth="1" min="3" max="3"/>
    <col width="32" customWidth="1" min="4" max="4"/>
    <col width="28" customWidth="1" min="5" max="5"/>
    <col width="32" customWidth="1" min="6" max="6"/>
    <col width="35" customWidth="1" min="7" max="7"/>
    <col width="40" customWidth="1" min="8" max="8"/>
    <col width="32" customWidth="1" min="9" max="9"/>
    <col width="32" customWidth="1" min="10" max="10"/>
    <col width="35" customWidth="1" min="11" max="11"/>
    <col width="25" customWidth="1" min="12" max="12"/>
    <col width="35" customWidth="1" min="13" max="13"/>
    <col width="12" customWidth="1" min="14" max="14"/>
    <col width="16" customWidth="1" min="15" max="15"/>
  </cols>
  <sheetData>
    <row r="1">
      <c r="A1" s="1" t="inlineStr">
        <is>
          <t>PhD RESEARCH IDEA BANK &amp; PROPOSAL FORMULATION INCUBATOR</t>
        </is>
      </c>
    </row>
    <row r="2"/>
    <row r="3">
      <c r="A3" s="2" t="inlineStr">
        <is>
          <t>Track emergent problems, research questions, methodologies, datasets, testbeds, and target supervisors for PhD proposals.</t>
        </is>
      </c>
    </row>
    <row r="4" ht="28" customHeight="1">
      <c r="A4" s="11" t="inlineStr">
        <is>
          <t>Date Logged</t>
        </is>
      </c>
      <c r="B4" s="11" t="inlineStr">
        <is>
          <t>Research Domain</t>
        </is>
      </c>
      <c r="C4" s="11" t="inlineStr">
        <is>
          <t>Problem Statement</t>
        </is>
      </c>
      <c r="D4" s="11" t="inlineStr">
        <is>
          <t>Why It Matters (Impact)</t>
        </is>
      </c>
      <c r="E4" s="11" t="inlineStr">
        <is>
          <t>Current SOTA Approaches</t>
        </is>
      </c>
      <c r="F4" s="11" t="inlineStr">
        <is>
          <t>Limitations of Current SOTA</t>
        </is>
      </c>
      <c r="G4" s="11" t="inlineStr">
        <is>
          <t>Potential Research Gap</t>
        </is>
      </c>
      <c r="H4" s="11" t="inlineStr">
        <is>
          <t>Formulated Research Question (RQ)</t>
        </is>
      </c>
      <c r="I4" s="11" t="inlineStr">
        <is>
          <t>Proposed Algorithmic Method</t>
        </is>
      </c>
      <c r="J4" s="11" t="inlineStr">
        <is>
          <t>Dataset / Simulation Testbed</t>
        </is>
      </c>
      <c r="K4" s="11" t="inlineStr">
        <is>
          <t>Primary Evaluation Metrics</t>
        </is>
      </c>
      <c r="L4" s="11" t="inlineStr">
        <is>
          <t>Key Related Papers</t>
        </is>
      </c>
      <c r="M4" s="11" t="inlineStr">
        <is>
          <t>Target PhD Supervisors &amp; Labs</t>
        </is>
      </c>
      <c r="N4" s="11" t="inlineStr">
        <is>
          <t>Priority</t>
        </is>
      </c>
      <c r="O4" s="11" t="inlineStr">
        <is>
          <t>Status</t>
        </is>
      </c>
    </row>
    <row r="5">
      <c r="A5" s="12" t="inlineStr">
        <is>
          <t>2026-09-01</t>
        </is>
      </c>
      <c r="B5" s="13" t="inlineStr">
        <is>
          <t>Federated Edge Intelligence</t>
        </is>
      </c>
      <c r="C5" s="13" t="inlineStr">
        <is>
          <t>Non-IID data distribution and wireless channel intermittency cause severe client drift and straggler delays in mobile edge federated learning.</t>
        </is>
      </c>
      <c r="D5" s="13" t="inlineStr">
        <is>
          <t>Enables privacy-compliant distributed learning on user devices without sending raw data to central clouds.</t>
        </is>
      </c>
      <c r="E5" s="13" t="inlineStr">
        <is>
          <t>FedAvg, FedProx, SCAFFOLD with basic heuristic client selection.</t>
        </is>
      </c>
      <c r="F5" s="13" t="inlineStr">
        <is>
          <t>Static client selection ignores dynamic radio link quality and device battery states, leading to dropped aggregation rounds.</t>
        </is>
      </c>
      <c r="G5" s="13" t="inlineStr">
        <is>
          <t>Joint optimization of radio resource allocation, adaptive local epoch count, and asynchronous gradient aggregation.</t>
        </is>
      </c>
      <c r="H5" s="13" t="inlineStr">
        <is>
          <t>RQ1: How can reinforcement learning dynamically adjust local computation epochs and transmission power to minimize FL convergence time under volatile channel conditions?</t>
        </is>
      </c>
      <c r="I5" s="13" t="inlineStr">
        <is>
          <t>Multi-Agent Deep Reinforcement Learning (MADRL) + Lyapunov Optimization</t>
        </is>
      </c>
      <c r="J5" s="13" t="inlineStr">
        <is>
          <t>Flower.ai + CRAWDAD Mobility Dataset on 10 Raspberry Pi 4 edge nodes</t>
        </is>
      </c>
      <c r="K5" s="13" t="inlineStr">
        <is>
          <t>Wall-clock convergence time (s), Energy consumption (J), Model accuracy (%), Communication overhead (MB)</t>
        </is>
      </c>
      <c r="L5" s="13" t="inlineStr">
        <is>
          <t>McMahan (2017), Kairouz (2021), Wang (2020)</t>
        </is>
      </c>
      <c r="M5" s="13" t="inlineStr">
        <is>
          <t>Prof. Schahram Dustdar (TU Wien), Prof. Tarik Taleb (Ruhr Univ / Oulu), Prof. Nirwan Ansari (NJIT)</t>
        </is>
      </c>
      <c r="N5" s="15" t="inlineStr">
        <is>
          <t>High</t>
        </is>
      </c>
      <c r="O5" s="15" t="inlineStr">
        <is>
          <t>Investigating</t>
        </is>
      </c>
    </row>
    <row r="6">
      <c r="A6" s="16" t="inlineStr">
        <is>
          <t>2026-09-05</t>
        </is>
      </c>
      <c r="B6" s="17" t="inlineStr">
        <is>
          <t>Computation Offloading &amp; Mobility</t>
        </is>
      </c>
      <c r="C6" s="17" t="inlineStr">
        <is>
          <t>High-velocity vehicular nodes (V2X) experience rapid handovers between roadside edge units (RSUs), causing in-flight computation offloading failures.</t>
        </is>
      </c>
      <c r="D6" s="17" t="inlineStr">
        <is>
          <t>Mission-critical autonomous driving perception models require strict sub-10ms response times.</t>
        </is>
      </c>
      <c r="E6" s="17" t="inlineStr">
        <is>
          <t>Greedy nearest-RSU offloading, simple Markov chain trajectory prediction.</t>
        </is>
      </c>
      <c r="F6" s="17" t="inlineStr">
        <is>
          <t>Fails to account for server queue backlog and handover signaling overhead during task execution.</t>
        </is>
      </c>
      <c r="G6" s="17" t="inlineStr">
        <is>
          <t>Predictive graph-based task partitioning with proactive state pre-migration across candidate roadside units.</t>
        </is>
      </c>
      <c r="H6" s="17" t="inlineStr">
        <is>
          <t>RQ2: Can spatial-temporal graph neural networks accurately forecast vehicle trajectories to proactively migrate containerized execution states with zero perceived latency?</t>
        </is>
      </c>
      <c r="I6" s="17" t="inlineStr">
        <is>
          <t>Spatial-Temporal Graph Neural Network (ST-GNN) + Deep Q-Network (DQN)</t>
        </is>
      </c>
      <c r="J6" s="17" t="inlineStr">
        <is>
          <t>Simu5G / OMNeT++ with SUMO (Simulation of Urban MObility) traffic traces</t>
        </is>
      </c>
      <c r="K6" s="17" t="inlineStr">
        <is>
          <t>Task deadline violation rate (%), Handover failure rate (%), Migration bandwidth overhead (MB), RSU energy (kWh)</t>
        </is>
      </c>
      <c r="L6" s="17" t="inlineStr">
        <is>
          <t>Mao (2017), Taleb (2017), Saad (2020)</t>
        </is>
      </c>
      <c r="M6" s="17" t="inlineStr">
        <is>
          <t>Prof. Weisong Shi (Univ of Delaware), Prof. Mahadev Satyanarayanan (CMU), Prof. Falko Dressler (TU Berlin)</t>
        </is>
      </c>
      <c r="N6" s="19" t="inlineStr">
        <is>
          <t>High</t>
        </is>
      </c>
      <c r="O6" s="19" t="inlineStr">
        <is>
          <t>Investigating</t>
        </is>
      </c>
    </row>
    <row r="7">
      <c r="A7" s="12" t="inlineStr">
        <is>
          <t>2026-09-10</t>
        </is>
      </c>
      <c r="B7" s="13" t="inlineStr">
        <is>
          <t>Edge Serverless &amp; Cold Starts</t>
        </is>
      </c>
      <c r="C7" s="13" t="inlineStr">
        <is>
          <t>FaaS (Function-as-a-Service) at the edge suffers from severe cold-start latency (100ms - 2s) when initializing container/Wasm runtimes on memory-constrained nodes.</t>
        </is>
      </c>
      <c r="D7" s="13" t="inlineStr">
        <is>
          <t>Serverless is the ideal programming paradigm for sporadic IoT event triggers, but cold starts violate real-time SLAs.</t>
        </is>
      </c>
      <c r="E7" s="13" t="inlineStr">
        <is>
          <t>Fixed keep-alive timeout policies, pre-warmed generic containers.</t>
        </is>
      </c>
      <c r="F7" s="13" t="inlineStr">
        <is>
          <t>Static timeouts waste precious RAM on idle edge servers or miss bursty invocation spikes.</t>
        </is>
      </c>
      <c r="G7" s="13" t="inlineStr">
        <is>
          <t>Lightweight neural time-series invocation prediction combined with WebAssembly (Wasm) micro-sandboxing.</t>
        </is>
      </c>
      <c r="H7" s="13" t="inlineStr">
        <is>
          <t>RQ3: How does sub-millisecond WebAssembly instantiation combined with LSTM-based invocation forecasting reduce tail latency in edge micro-services?</t>
        </is>
      </c>
      <c r="I7" s="13" t="inlineStr">
        <is>
          <t>Wasm Micro-runtimes (Wasmtime/WasmEdge) + Transformer-based Invocation Predictor</t>
        </is>
      </c>
      <c r="J7" s="13" t="inlineStr">
        <is>
          <t>OpenFaaS on K3s Edge Testbed with Azure Functions Public Trace 2021</t>
        </is>
      </c>
      <c r="K7" s="13" t="inlineStr">
        <is>
          <t>P99 Cold-start latency (ms), Memory footprint (MB), Idle energy dissipation (W), Function execution throughput (req/s)</t>
        </is>
      </c>
      <c r="L7" s="13" t="inlineStr">
        <is>
          <t>Li et al. (2022), Felter (2015), Xiong (2018)</t>
        </is>
      </c>
      <c r="M7" s="13" t="inlineStr">
        <is>
          <t>Prof. Rajkumar Buyya (Univ of Melbourne), Prof. Salman Baset, Prof. Cristiana Amza (Univ of Toronto)</t>
        </is>
      </c>
      <c r="N7" s="15" t="inlineStr">
        <is>
          <t>Medium</t>
        </is>
      </c>
      <c r="O7" s="15" t="inlineStr">
        <is>
          <t>Idea</t>
        </is>
      </c>
    </row>
    <row r="8">
      <c r="A8" s="16" t="inlineStr">
        <is>
          <t>2026-09-15</t>
        </is>
      </c>
      <c r="B8" s="17" t="inlineStr">
        <is>
          <t>Green &amp; Sustainable Edge Computing</t>
        </is>
      </c>
      <c r="C8" s="17" t="inlineStr">
        <is>
          <t>Solar- and battery-powered edge sensor nodes experience energy harvesting fluctuations, causing sudden brownouts during heavy AI inference.</t>
        </is>
      </c>
      <c r="D8" s="17" t="inlineStr">
        <is>
          <t>Self-sustaining remote environmental monitoring and agricultural edge deployments cannot rely on stable grid power.</t>
        </is>
      </c>
      <c r="E8" s="17" t="inlineStr">
        <is>
          <t>Static duty-cycling, low-power sleep modes.</t>
        </is>
      </c>
      <c r="F8" s="17" t="inlineStr">
        <is>
          <t>Cannot dynamically trade off neural inference precision (quantization level) against current energy harvesting rates.</t>
        </is>
      </c>
      <c r="G8" s="17" t="inlineStr">
        <is>
          <t>Energy-harvesting-aware dynamic model switching and progressive early-exit deep neural networks (EE-DNNs).</t>
        </is>
      </c>
      <c r="H8" s="17" t="inlineStr">
        <is>
          <t>RQ4: What is the optimal Pareto frontier between neural model exit depth and solar energy harvesting rates to maximize multi-day sensing uptime?</t>
        </is>
      </c>
      <c r="I8" s="17" t="inlineStr">
        <is>
          <t>Convex Multi-Objective Optimization + Early-Exit MobileNet / TinyML</t>
        </is>
      </c>
      <c r="J8" s="17" t="inlineStr">
        <is>
          <t>EdgeCloudSim with Solar Irradiance Real-World Harvest Traces (NREL)</t>
        </is>
      </c>
      <c r="K8" s="17" t="inlineStr">
        <is>
          <t>Battery state of charge (%), Continuous operational lifetime (days), Inference accuracy (Top-1 %), Data loss rate (%)</t>
        </is>
      </c>
      <c r="L8" s="17" t="inlineStr">
        <is>
          <t>Zhou (2019), Boyd (EE364a), Ray (2021)</t>
        </is>
      </c>
      <c r="M8" s="17" t="inlineStr">
        <is>
          <t>Prof. Vijay Janapa Reddi (Harvard), Prof. Luca Benini (ETH Zurich / Univ of Bologna)</t>
        </is>
      </c>
      <c r="N8" s="19" t="inlineStr">
        <is>
          <t>Medium</t>
        </is>
      </c>
      <c r="O8" s="19" t="inlineStr">
        <is>
          <t>Idea</t>
        </is>
      </c>
    </row>
  </sheetData>
  <mergeCells count="2">
    <mergeCell ref="A1:O2"/>
    <mergeCell ref="A3:O3"/>
  </mergeCells>
  <conditionalFormatting sqref="N5:N25">
    <cfRule type="cellIs" priority="1" operator="equal" dxfId="3" stopIfTrue="1">
      <formula>"High"</formula>
    </cfRule>
  </conditionalFormatting>
  <conditionalFormatting sqref="O5:O25">
    <cfRule type="cellIs" priority="2" operator="equal" dxfId="1" stopIfTrue="1">
      <formula>"Investigating"</formula>
    </cfRule>
  </conditionalFormatting>
  <dataValidations count="2">
    <dataValidation sqref="N5:N25" showDropDown="0" showInputMessage="0" showErrorMessage="0" allowBlank="1" type="list">
      <formula1>"High,Medium,Low"</formula1>
    </dataValidation>
    <dataValidation sqref="O5:O25" showDropDown="0" showInputMessage="0" showErrorMessage="0" allowBlank="1" type="list">
      <formula1>"Idea,Investigating,Drafting Proposal,Archived"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5"/>
  <sheetViews>
    <sheetView showGridLines="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0" customWidth="1" min="2" max="2"/>
    <col width="16" customWidth="1" min="3" max="3"/>
    <col width="16" customWidth="1" min="4" max="4"/>
    <col width="14" customWidth="1" min="5" max="5"/>
    <col width="18" customWidth="1" min="6" max="6"/>
    <col width="35" customWidth="1" min="7" max="7"/>
    <col width="25" customWidth="1" min="8" max="8"/>
    <col width="25" customWidth="1" min="9" max="9"/>
    <col width="15" customWidth="1" min="10" max="10"/>
  </cols>
  <sheetData>
    <row r="1">
      <c r="A1" s="1" t="inlineStr">
        <is>
          <t>EDGE COMPUTING PhD COMPETENCY &amp; TECHNICAL SKILLS MATRIX</t>
        </is>
      </c>
    </row>
    <row r="2"/>
    <row r="3">
      <c r="A3" s="2" t="inlineStr">
        <is>
          <t>Proficiency Scale: 0=No Knowledge | 1=Awareness | 2=Basic | 3=Working Knowledge | 4=Advanced | 5=Research Ready</t>
        </is>
      </c>
    </row>
    <row r="4" ht="28" customHeight="1">
      <c r="A4" s="11" t="inlineStr">
        <is>
          <t>Skill / Competency Domain</t>
        </is>
      </c>
      <c r="B4" s="11" t="inlineStr">
        <is>
          <t>Core Category</t>
        </is>
      </c>
      <c r="C4" s="11" t="inlineStr">
        <is>
          <t>Current Level (0-5)</t>
        </is>
      </c>
      <c r="D4" s="11" t="inlineStr">
        <is>
          <t>Target Level (0-5)</t>
        </is>
      </c>
      <c r="E4" s="11" t="inlineStr">
        <is>
          <t>Gap (Target - Current)</t>
        </is>
      </c>
      <c r="F4" s="11" t="inlineStr">
        <is>
          <t>Importance for PhD (1-5)</t>
        </is>
      </c>
      <c r="G4" s="11" t="inlineStr">
        <is>
          <t>Concrete Demonstration / Artifact Required</t>
        </is>
      </c>
      <c r="H4" s="11" t="inlineStr">
        <is>
          <t>Primary Source Course / Material</t>
        </is>
      </c>
      <c r="I4" s="11" t="inlineStr">
        <is>
          <t>Practical Project Alignment</t>
        </is>
      </c>
      <c r="J4" s="11" t="inlineStr">
        <is>
          <t>Status</t>
        </is>
      </c>
    </row>
    <row r="5">
      <c r="A5" s="13" t="inlineStr">
        <is>
          <t>Computer Networking (TCP/IP, Sockets)</t>
        </is>
      </c>
      <c r="B5" s="12" t="inlineStr">
        <is>
          <t>Systems &amp; Networks</t>
        </is>
      </c>
      <c r="C5" s="35" t="n">
        <v>3</v>
      </c>
      <c r="D5" s="35" t="n">
        <v>5</v>
      </c>
      <c r="E5" s="36">
        <f>D5-C5</f>
        <v/>
      </c>
      <c r="F5" s="35" t="n">
        <v>5</v>
      </c>
      <c r="G5" s="13" t="inlineStr">
        <is>
          <t>Implement socket communication &amp; latency analysis</t>
        </is>
      </c>
      <c r="H5" s="13" t="inlineStr">
        <is>
          <t>Stanford CS144 (Free)</t>
        </is>
      </c>
      <c r="I5" s="13" t="inlineStr">
        <is>
          <t>Network Latency Benchmark</t>
        </is>
      </c>
      <c r="J5" s="15" t="inlineStr">
        <is>
          <t>In Progress</t>
        </is>
      </c>
    </row>
    <row r="6">
      <c r="A6" s="17" t="inlineStr">
        <is>
          <t>Software-Defined Networking (SDN)</t>
        </is>
      </c>
      <c r="B6" s="16" t="inlineStr">
        <is>
          <t>Systems &amp; Networks</t>
        </is>
      </c>
      <c r="C6" s="32" t="n">
        <v>2</v>
      </c>
      <c r="D6" s="32" t="n">
        <v>4</v>
      </c>
      <c r="E6" s="33">
        <f>D6-C6</f>
        <v/>
      </c>
      <c r="F6" s="32" t="n">
        <v>4</v>
      </c>
      <c r="G6" s="17" t="inlineStr">
        <is>
          <t>Write custom OpenFlow controller rules in Mininet</t>
        </is>
      </c>
      <c r="H6" s="17" t="inlineStr">
        <is>
          <t>Georgia Tech CS6250 (Free)</t>
        </is>
      </c>
      <c r="I6" s="17" t="inlineStr">
        <is>
          <t>Mininet Edge Routing Lab</t>
        </is>
      </c>
      <c r="J6" s="19" t="inlineStr">
        <is>
          <t>Not Started</t>
        </is>
      </c>
    </row>
    <row r="7">
      <c r="A7" s="13" t="inlineStr">
        <is>
          <t>Distributed Systems Principles</t>
        </is>
      </c>
      <c r="B7" s="12" t="inlineStr">
        <is>
          <t>Systems &amp; Networks</t>
        </is>
      </c>
      <c r="C7" s="35" t="n">
        <v>2</v>
      </c>
      <c r="D7" s="35" t="n">
        <v>5</v>
      </c>
      <c r="E7" s="36">
        <f>D7-C7</f>
        <v/>
      </c>
      <c r="F7" s="35" t="n">
        <v>5</v>
      </c>
      <c r="G7" s="13" t="inlineStr">
        <is>
          <t>Deconstruct vector clocks and Raft consensus</t>
        </is>
      </c>
      <c r="H7" s="13" t="inlineStr">
        <is>
          <t>MIT 6.824 (Free)</t>
        </is>
      </c>
      <c r="I7" s="13" t="inlineStr">
        <is>
          <t>Raft State Machine Lab</t>
        </is>
      </c>
      <c r="J7" s="15" t="inlineStr">
        <is>
          <t>Not Started</t>
        </is>
      </c>
    </row>
    <row r="8">
      <c r="A8" s="17" t="inlineStr">
        <is>
          <t>Cloud Architecture &amp; Microservices</t>
        </is>
      </c>
      <c r="B8" s="16" t="inlineStr">
        <is>
          <t>Systems &amp; Networks</t>
        </is>
      </c>
      <c r="C8" s="32" t="n">
        <v>3</v>
      </c>
      <c r="D8" s="32" t="n">
        <v>4</v>
      </c>
      <c r="E8" s="33">
        <f>D8-C8</f>
        <v/>
      </c>
      <c r="F8" s="32" t="n">
        <v>4</v>
      </c>
      <c r="G8" s="17" t="inlineStr">
        <is>
          <t>Deploy microservice mesh on container runtime</t>
        </is>
      </c>
      <c r="H8" s="17" t="inlineStr">
        <is>
          <t>UIUC Cloud Specialization (Free Audit)</t>
        </is>
      </c>
      <c r="I8" s="17" t="inlineStr">
        <is>
          <t>Multi-Tier Web Topology</t>
        </is>
      </c>
      <c r="J8" s="19" t="inlineStr">
        <is>
          <t>Not Started</t>
        </is>
      </c>
    </row>
    <row r="9">
      <c r="A9" s="13" t="inlineStr">
        <is>
          <t>Internet of Things Protocols (MQTT/CoAP)</t>
        </is>
      </c>
      <c r="B9" s="12" t="inlineStr">
        <is>
          <t>Systems &amp; Networks</t>
        </is>
      </c>
      <c r="C9" s="35" t="n">
        <v>3</v>
      </c>
      <c r="D9" s="35" t="n">
        <v>5</v>
      </c>
      <c r="E9" s="36">
        <f>D9-C9</f>
        <v/>
      </c>
      <c r="F9" s="35" t="n">
        <v>4</v>
      </c>
      <c r="G9" s="13" t="inlineStr">
        <is>
          <t>Benchmark MQTT QoS under network throttling</t>
        </is>
      </c>
      <c r="H9" s="13" t="inlineStr">
        <is>
          <t>Curtin Univ IoT (Free Audit)</t>
        </is>
      </c>
      <c r="I9" s="13" t="inlineStr">
        <is>
          <t>EMQX Broker Benchmark</t>
        </is>
      </c>
      <c r="J9" s="15" t="inlineStr">
        <is>
          <t>Not Started</t>
        </is>
      </c>
    </row>
    <row r="10">
      <c r="A10" s="17" t="inlineStr">
        <is>
          <t>Docker &amp; Container Internals</t>
        </is>
      </c>
      <c r="B10" s="16" t="inlineStr">
        <is>
          <t>Systems &amp; Networks</t>
        </is>
      </c>
      <c r="C10" s="32" t="n">
        <v>3</v>
      </c>
      <c r="D10" s="32" t="n">
        <v>5</v>
      </c>
      <c r="E10" s="33">
        <f>D10-C10</f>
        <v/>
      </c>
      <c r="F10" s="32" t="n">
        <v>5</v>
      </c>
      <c r="G10" s="17" t="inlineStr">
        <is>
          <t>Isolate processes with Linux cgroups and namespaces</t>
        </is>
      </c>
      <c r="H10" s="17" t="inlineStr">
        <is>
          <t>Liz Rice Containers from Scratch</t>
        </is>
      </c>
      <c r="I10" s="17" t="inlineStr">
        <is>
          <t>Manual cgroup Sandbox</t>
        </is>
      </c>
      <c r="J10" s="19" t="inlineStr">
        <is>
          <t>Not Started</t>
        </is>
      </c>
    </row>
    <row r="11">
      <c r="A11" s="13" t="inlineStr">
        <is>
          <t>Kubernetes / K3s Orchestration</t>
        </is>
      </c>
      <c r="B11" s="12" t="inlineStr">
        <is>
          <t>Systems &amp; Networks</t>
        </is>
      </c>
      <c r="C11" s="35" t="n">
        <v>2</v>
      </c>
      <c r="D11" s="35" t="n">
        <v>5</v>
      </c>
      <c r="E11" s="36">
        <f>D11-C11</f>
        <v/>
      </c>
      <c r="F11" s="35" t="n">
        <v>5</v>
      </c>
      <c r="G11" s="13" t="inlineStr">
        <is>
          <t>Deploy multi-node K3s cluster with ingress</t>
        </is>
      </c>
      <c r="H11" s="13" t="inlineStr">
        <is>
          <t>Linux Foundation LFS156x (Free Audit)</t>
        </is>
      </c>
      <c r="I11" s="13" t="inlineStr">
        <is>
          <t>K3s Edge Node Cluster</t>
        </is>
      </c>
      <c r="J11" s="15" t="inlineStr">
        <is>
          <t>Not Started</t>
        </is>
      </c>
    </row>
    <row r="12">
      <c r="A12" s="17" t="inlineStr">
        <is>
          <t>Linux Systems Programming &amp; C/Go</t>
        </is>
      </c>
      <c r="B12" s="16" t="inlineStr">
        <is>
          <t>Systems &amp; Networks</t>
        </is>
      </c>
      <c r="C12" s="32" t="n">
        <v>3</v>
      </c>
      <c r="D12" s="32" t="n">
        <v>4</v>
      </c>
      <c r="E12" s="33">
        <f>D12-C12</f>
        <v/>
      </c>
      <c r="F12" s="32" t="n">
        <v>4</v>
      </c>
      <c r="G12" s="17" t="inlineStr">
        <is>
          <t>Write multi-threaded RPC client-server in Go/C</t>
        </is>
      </c>
      <c r="H12" s="17" t="inlineStr">
        <is>
          <t>MIT 6.824 Open Labs</t>
        </is>
      </c>
      <c r="I12" s="17" t="inlineStr">
        <is>
          <t>RPC Go/Python Script</t>
        </is>
      </c>
      <c r="J12" s="19" t="inlineStr">
        <is>
          <t>Not Started</t>
        </is>
      </c>
    </row>
    <row r="13">
      <c r="A13" s="13" t="inlineStr">
        <is>
          <t>Python Scientific Stack (NumPy/SciPy)</t>
        </is>
      </c>
      <c r="B13" s="12" t="inlineStr">
        <is>
          <t>AI &amp; Optimization</t>
        </is>
      </c>
      <c r="C13" s="35" t="n">
        <v>4</v>
      </c>
      <c r="D13" s="35" t="n">
        <v>5</v>
      </c>
      <c r="E13" s="36">
        <f>D13-C13</f>
        <v/>
      </c>
      <c r="F13" s="35" t="n">
        <v>5</v>
      </c>
      <c r="G13" s="13" t="inlineStr">
        <is>
          <t>Vectorized data processing and statistical analysis</t>
        </is>
      </c>
      <c r="H13" s="13" t="inlineStr">
        <is>
          <t>Self / Open Research Workflows</t>
        </is>
      </c>
      <c r="I13" s="13" t="inlineStr">
        <is>
          <t>Data Analysis Scripts</t>
        </is>
      </c>
      <c r="J13" s="15" t="inlineStr">
        <is>
          <t>In Progress</t>
        </is>
      </c>
    </row>
    <row r="14">
      <c r="A14" s="17" t="inlineStr">
        <is>
          <t>Edge Computing Architecture (MEC)</t>
        </is>
      </c>
      <c r="B14" s="16" t="inlineStr">
        <is>
          <t>Edge Architecture</t>
        </is>
      </c>
      <c r="C14" s="32" t="n">
        <v>2</v>
      </c>
      <c r="D14" s="32" t="n">
        <v>5</v>
      </c>
      <c r="E14" s="33">
        <f>D14-C14</f>
        <v/>
      </c>
      <c r="F14" s="32" t="n">
        <v>5</v>
      </c>
      <c r="G14" s="17" t="inlineStr">
        <is>
          <t>Map ETSI MEC interfaces to 5G SBA functions</t>
        </is>
      </c>
      <c r="H14" s="17" t="inlineStr">
        <is>
          <t>ETSI GS MEC 003 Open Specs</t>
        </is>
      </c>
      <c r="I14" s="17" t="inlineStr">
        <is>
          <t>MEC Taxonomy Whitepaper</t>
        </is>
      </c>
      <c r="J14" s="19" t="inlineStr">
        <is>
          <t>In Progress</t>
        </is>
      </c>
    </row>
    <row r="15">
      <c r="A15" s="13" t="inlineStr">
        <is>
          <t>5G Core &amp; Network Slicing</t>
        </is>
      </c>
      <c r="B15" s="12" t="inlineStr">
        <is>
          <t>Edge Architecture</t>
        </is>
      </c>
      <c r="C15" s="35" t="n">
        <v>2</v>
      </c>
      <c r="D15" s="35" t="n">
        <v>4</v>
      </c>
      <c r="E15" s="36">
        <f>D15-C15</f>
        <v/>
      </c>
      <c r="F15" s="35" t="n">
        <v>5</v>
      </c>
      <c r="G15" s="13" t="inlineStr">
        <is>
          <t>Simulate URLLC vs eMBB slice isolation</t>
        </is>
      </c>
      <c r="H15" s="13" t="inlineStr">
        <is>
          <t>EURECOM 5G Course (Free Audit)</t>
        </is>
      </c>
      <c r="I15" s="13" t="inlineStr">
        <is>
          <t>5G Network Slice Model</t>
        </is>
      </c>
      <c r="J15" s="15" t="inlineStr">
        <is>
          <t>Not Started</t>
        </is>
      </c>
    </row>
    <row r="16">
      <c r="A16" s="17" t="inlineStr">
        <is>
          <t>6G Architecture &amp; V2X Concepts</t>
        </is>
      </c>
      <c r="B16" s="16" t="inlineStr">
        <is>
          <t>Edge Architecture</t>
        </is>
      </c>
      <c r="C16" s="32" t="n">
        <v>1</v>
      </c>
      <c r="D16" s="32" t="n">
        <v>4</v>
      </c>
      <c r="E16" s="33">
        <f>D16-C16</f>
        <v/>
      </c>
      <c r="F16" s="32" t="n">
        <v>4</v>
      </c>
      <c r="G16" s="17" t="inlineStr">
        <is>
          <t>Analyze ISAC and high-mobility V2X handovers</t>
        </is>
      </c>
      <c r="H16" s="17" t="inlineStr">
        <is>
          <t>Univ of Oulu 6G Flagship (Free)</t>
        </is>
      </c>
      <c r="I16" s="17" t="inlineStr">
        <is>
          <t>Vehicular Handover Model</t>
        </is>
      </c>
      <c r="J16" s="19" t="inlineStr">
        <is>
          <t>Not Started</t>
        </is>
      </c>
    </row>
    <row r="17">
      <c r="A17" s="13" t="inlineStr">
        <is>
          <t>Machine Learning &amp; Model Compression</t>
        </is>
      </c>
      <c r="B17" s="12" t="inlineStr">
        <is>
          <t>AI &amp; Optimization</t>
        </is>
      </c>
      <c r="C17" s="35" t="n">
        <v>3</v>
      </c>
      <c r="D17" s="35" t="n">
        <v>5</v>
      </c>
      <c r="E17" s="36">
        <f>D17-C17</f>
        <v/>
      </c>
      <c r="F17" s="35" t="n">
        <v>5</v>
      </c>
      <c r="G17" s="13" t="inlineStr">
        <is>
          <t>Quantize ResNet model to INT8 with PyTorch</t>
        </is>
      </c>
      <c r="H17" s="13" t="inlineStr">
        <is>
          <t>Harvard CS249r TinyML (Free)</t>
        </is>
      </c>
      <c r="I17" s="13" t="inlineStr">
        <is>
          <t>PyTorch Quantization Lab</t>
        </is>
      </c>
      <c r="J17" s="15" t="inlineStr">
        <is>
          <t>Not Started</t>
        </is>
      </c>
    </row>
    <row r="18">
      <c r="A18" s="17" t="inlineStr">
        <is>
          <t>TinyML &amp; Embedded Neural Inference</t>
        </is>
      </c>
      <c r="B18" s="16" t="inlineStr">
        <is>
          <t>AI &amp; Optimization</t>
        </is>
      </c>
      <c r="C18" s="32" t="n">
        <v>2</v>
      </c>
      <c r="D18" s="32" t="n">
        <v>4</v>
      </c>
      <c r="E18" s="33">
        <f>D18-C18</f>
        <v/>
      </c>
      <c r="F18" s="32" t="n">
        <v>4</v>
      </c>
      <c r="G18" s="17" t="inlineStr">
        <is>
          <t>Run neural model on TFLite Micro runtime</t>
        </is>
      </c>
      <c r="H18" s="17" t="inlineStr">
        <is>
          <t>Harvard Edge AI Lab (Free)</t>
        </is>
      </c>
      <c r="I18" s="17" t="inlineStr">
        <is>
          <t>Microcontroller Audio Lab</t>
        </is>
      </c>
      <c r="J18" s="19" t="inlineStr">
        <is>
          <t>Not Started</t>
        </is>
      </c>
    </row>
    <row r="19">
      <c r="A19" s="13" t="inlineStr">
        <is>
          <t>Federated Learning (FedAvg/FedProx)</t>
        </is>
      </c>
      <c r="B19" s="12" t="inlineStr">
        <is>
          <t>AI &amp; Optimization</t>
        </is>
      </c>
      <c r="C19" s="35" t="n">
        <v>2</v>
      </c>
      <c r="D19" s="35" t="n">
        <v>5</v>
      </c>
      <c r="E19" s="36">
        <f>D19-C19</f>
        <v/>
      </c>
      <c r="F19" s="35" t="n">
        <v>5</v>
      </c>
      <c r="G19" s="13" t="inlineStr">
        <is>
          <t>Simulate FL client aggregation in Flower.ai</t>
        </is>
      </c>
      <c r="H19" s="13" t="inlineStr">
        <is>
          <t>Flower.ai Open Framework</t>
        </is>
      </c>
      <c r="I19" s="13" t="inlineStr">
        <is>
          <t>5-Node FL Simulation</t>
        </is>
      </c>
      <c r="J19" s="15" t="inlineStr">
        <is>
          <t>Not Started</t>
        </is>
      </c>
    </row>
    <row r="20">
      <c r="A20" s="17" t="inlineStr">
        <is>
          <t>Mathematical Optimization (Convex/LP)</t>
        </is>
      </c>
      <c r="B20" s="16" t="inlineStr">
        <is>
          <t>AI &amp; Optimization</t>
        </is>
      </c>
      <c r="C20" s="32" t="n">
        <v>2</v>
      </c>
      <c r="D20" s="32" t="n">
        <v>5</v>
      </c>
      <c r="E20" s="33">
        <f>D20-C20</f>
        <v/>
      </c>
      <c r="F20" s="32" t="n">
        <v>5</v>
      </c>
      <c r="G20" s="17" t="inlineStr">
        <is>
          <t>Formulate offloading problem and solve in CVXPY</t>
        </is>
      </c>
      <c r="H20" s="17" t="inlineStr">
        <is>
          <t>Stanford EE364a (Free Book/Lectures)</t>
        </is>
      </c>
      <c r="I20" s="17" t="inlineStr">
        <is>
          <t>CVXPY Offloading Script</t>
        </is>
      </c>
      <c r="J20" s="19" t="inlineStr">
        <is>
          <t>Not Started</t>
        </is>
      </c>
    </row>
    <row r="21">
      <c r="A21" s="13" t="inlineStr">
        <is>
          <t>Reinforcement Learning (MDP/DQN)</t>
        </is>
      </c>
      <c r="B21" s="12" t="inlineStr">
        <is>
          <t>AI &amp; Optimization</t>
        </is>
      </c>
      <c r="C21" s="35" t="n">
        <v>2</v>
      </c>
      <c r="D21" s="35" t="n">
        <v>4</v>
      </c>
      <c r="E21" s="36">
        <f>D21-C21</f>
        <v/>
      </c>
      <c r="F21" s="35" t="n">
        <v>4</v>
      </c>
      <c r="G21" s="13" t="inlineStr">
        <is>
          <t>Train Q-learning agent for server load balancing</t>
        </is>
      </c>
      <c r="H21" s="13" t="inlineStr">
        <is>
          <t>David Silver UCL RL (Free)</t>
        </is>
      </c>
      <c r="I21" s="13" t="inlineStr">
        <is>
          <t>RL Edge Scheduler Lab</t>
        </is>
      </c>
      <c r="J21" s="15" t="inlineStr">
        <is>
          <t>Not Started</t>
        </is>
      </c>
    </row>
    <row r="22">
      <c r="A22" s="17" t="inlineStr">
        <is>
          <t>Edge Security &amp; Privacy (TEEs/DP)</t>
        </is>
      </c>
      <c r="B22" s="16" t="inlineStr">
        <is>
          <t>Systems &amp; Networks</t>
        </is>
      </c>
      <c r="C22" s="32" t="n">
        <v>2</v>
      </c>
      <c r="D22" s="32" t="n">
        <v>4</v>
      </c>
      <c r="E22" s="33">
        <f>D22-C22</f>
        <v/>
      </c>
      <c r="F22" s="32" t="n">
        <v>4</v>
      </c>
      <c r="G22" s="17" t="inlineStr">
        <is>
          <t>Apply Differential Privacy noise to gradients</t>
        </is>
      </c>
      <c r="H22" s="17" t="inlineStr">
        <is>
          <t>Stanford CS255 / Opacus</t>
        </is>
      </c>
      <c r="I22" s="17" t="inlineStr">
        <is>
          <t>DP-SGD Privacy Script</t>
        </is>
      </c>
      <c r="J22" s="19" t="inlineStr">
        <is>
          <t>Not Started</t>
        </is>
      </c>
    </row>
    <row r="23">
      <c r="A23" s="13" t="inlineStr">
        <is>
          <t>Discrete-Event Simulation (EdgeCloudSim)</t>
        </is>
      </c>
      <c r="B23" s="12" t="inlineStr">
        <is>
          <t>Research &amp; Tools</t>
        </is>
      </c>
      <c r="C23" s="35" t="n">
        <v>1</v>
      </c>
      <c r="D23" s="35" t="n">
        <v>5</v>
      </c>
      <c r="E23" s="36">
        <f>D23-C23</f>
        <v/>
      </c>
      <c r="F23" s="35" t="n">
        <v>5</v>
      </c>
      <c r="G23" s="13" t="inlineStr">
        <is>
          <t>Execute 100+ multi-server offloading experiments</t>
        </is>
      </c>
      <c r="H23" s="13" t="inlineStr">
        <is>
          <t>Boğaziçi EdgeCloudSim (Free)</t>
        </is>
      </c>
      <c r="I23" s="13" t="inlineStr">
        <is>
          <t>Capstone Simulation</t>
        </is>
      </c>
      <c r="J23" s="15" t="inlineStr">
        <is>
          <t>Not Started</t>
        </is>
      </c>
    </row>
    <row r="24">
      <c r="A24" s="17" t="inlineStr">
        <is>
          <t>Academic Writing &amp; LaTeX Authoring</t>
        </is>
      </c>
      <c r="B24" s="16" t="inlineStr">
        <is>
          <t>Research &amp; Tools</t>
        </is>
      </c>
      <c r="C24" s="32" t="n">
        <v>3</v>
      </c>
      <c r="D24" s="32" t="n">
        <v>5</v>
      </c>
      <c r="E24" s="33">
        <f>D24-C24</f>
        <v/>
      </c>
      <c r="F24" s="32" t="n">
        <v>5</v>
      </c>
      <c r="G24" s="17" t="inlineStr">
        <is>
          <t>Write complete 6-page IEEE format paper</t>
        </is>
      </c>
      <c r="H24" s="17" t="inlineStr">
        <is>
          <t>Stanford SciWrite (Free Audit)</t>
        </is>
      </c>
      <c r="I24" s="17" t="inlineStr">
        <is>
          <t>Capstone IEEE Paper</t>
        </is>
      </c>
      <c r="J24" s="19" t="inlineStr">
        <is>
          <t>Not Started</t>
        </is>
      </c>
    </row>
    <row r="25">
      <c r="A25" s="13" t="inlineStr">
        <is>
          <t>Literature Review &amp; Gap Synthesis</t>
        </is>
      </c>
      <c r="B25" s="12" t="inlineStr">
        <is>
          <t>Research &amp; Tools</t>
        </is>
      </c>
      <c r="C25" s="35" t="n">
        <v>3</v>
      </c>
      <c r="D25" s="35" t="n">
        <v>5</v>
      </c>
      <c r="E25" s="36">
        <f>D25-C25</f>
        <v/>
      </c>
      <c r="F25" s="35" t="n">
        <v>5</v>
      </c>
      <c r="G25" s="13" t="inlineStr">
        <is>
          <t>Synthesize 20+ papers and write PhD Proposal</t>
        </is>
      </c>
      <c r="H25" s="13" t="inlineStr">
        <is>
          <t>Academic Open Methodology</t>
        </is>
      </c>
      <c r="I25" s="13" t="inlineStr">
        <is>
          <t>5-Page PhD Proposal</t>
        </is>
      </c>
      <c r="J25" s="15" t="inlineStr">
        <is>
          <t>Not Started</t>
        </is>
      </c>
    </row>
  </sheetData>
  <mergeCells count="2">
    <mergeCell ref="A1:J2"/>
    <mergeCell ref="A3:J3"/>
  </mergeCells>
  <conditionalFormatting sqref="J5:J30">
    <cfRule type="cellIs" priority="1" operator="equal" dxfId="0" stopIfTrue="1">
      <formula>"Completed"</formula>
    </cfRule>
    <cfRule type="cellIs" priority="2" operator="equal" dxfId="1" stopIfTrue="1">
      <formula>"In Progress"</formula>
    </cfRule>
    <cfRule type="cellIs" priority="3" operator="equal" dxfId="2" stopIfTrue="1">
      <formula>"Not Started"</formula>
    </cfRule>
    <cfRule type="cellIs" priority="4" operator="equal" dxfId="0" stopIfTrue="1">
      <formula>"Achieved"</formula>
    </cfRule>
  </conditionalFormatting>
  <dataValidations count="1">
    <dataValidation sqref="J5:J30" showDropDown="0" showInputMessage="0" showErrorMessage="0" allowBlank="1" type="list">
      <formula1>"Not Started,In Progress,Achieved,Needs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
  <sheetViews>
    <sheetView showGridLines="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4" customWidth="1" min="2" max="2"/>
    <col width="35" customWidth="1" min="3" max="3"/>
    <col width="35" customWidth="1" min="4" max="4"/>
    <col width="35" customWidth="1" min="5" max="5"/>
    <col width="32" customWidth="1" min="6" max="6"/>
    <col width="16" customWidth="1" min="7" max="7"/>
    <col width="24" customWidth="1" min="8" max="8"/>
    <col width="35" customWidth="1" min="9" max="9"/>
    <col width="38" customWidth="1" min="10" max="10"/>
  </cols>
  <sheetData>
    <row r="1">
      <c r="A1" s="1" t="inlineStr">
        <is>
          <t>EDGE COMPUTING RESEARCH SIMULATORS, EMULATORS &amp; TESTBEDS (100% FREE &amp; OPEN SOURCE)</t>
        </is>
      </c>
    </row>
    <row r="2"/>
    <row r="3">
      <c r="A3" s="2" t="inlineStr">
        <is>
          <t>Critical comparative analysis of 100% free open-source simulators, network emulators, and physical edge testbeds for PhD research.</t>
        </is>
      </c>
    </row>
    <row r="4" ht="28" customHeight="1">
      <c r="A4" s="11" t="inlineStr">
        <is>
          <t>Tool / Platform</t>
        </is>
      </c>
      <c r="B4" s="11" t="inlineStr">
        <is>
          <t>Tool Category</t>
        </is>
      </c>
      <c r="C4" s="11" t="inlineStr">
        <is>
          <t>What It Simulates &amp; Models</t>
        </is>
      </c>
      <c r="D4" s="11" t="inlineStr">
        <is>
          <t>Key Strengths &amp; What It Is Good For</t>
        </is>
      </c>
      <c r="E4" s="11" t="inlineStr">
        <is>
          <t>Limitations &amp; What It Cannot Model</t>
        </is>
      </c>
      <c r="F4" s="11" t="inlineStr">
        <is>
          <t>Typical Research Applications</t>
        </is>
      </c>
      <c r="G4" s="11" t="inlineStr">
        <is>
          <t>Learning Curve (1-5)</t>
        </is>
      </c>
      <c r="H4" s="11" t="inlineStr">
        <is>
          <t>PhD Value &amp; Recommendation</t>
        </is>
      </c>
      <c r="I4" s="11" t="inlineStr">
        <is>
          <t>Official Open-Source Repository</t>
        </is>
      </c>
      <c r="J4" s="11" t="inlineStr">
        <is>
          <t>Recommended Usage Strategy</t>
        </is>
      </c>
    </row>
    <row r="5">
      <c r="A5" s="13" t="inlineStr">
        <is>
          <t>EdgeCloudSim</t>
        </is>
      </c>
      <c r="B5" s="12" t="inlineStr">
        <is>
          <t>Discrete-Event Edge Simulator</t>
        </is>
      </c>
      <c r="C5" s="13" t="inlineStr">
        <is>
          <t>Edge computing environments, mobile device mobility, WLAN/WAN network delays, edge server VM processing, and task offloading policies.</t>
        </is>
      </c>
      <c r="D5" s="13" t="inlineStr">
        <is>
          <t>Extremely modular Java codebase built on CloudSim; tailored specifically for edge offloading, mobility modeling, and multi-tier queueing.</t>
        </is>
      </c>
      <c r="E5" s="13" t="inlineStr">
        <is>
          <t>Cannot perform packet-level protocol inspection; simplified wireless interference modeling compared to full network simulators.</t>
        </is>
      </c>
      <c r="F5" s="13" t="inlineStr">
        <is>
          <t>Computation offloading evaluation, edge server capacity planning, mobile handover delay assessment.</t>
        </is>
      </c>
      <c r="G5" s="35" t="n">
        <v>3</v>
      </c>
      <c r="H5" s="15" t="inlineStr">
        <is>
          <t>Essential for PhD (Top Choice)</t>
        </is>
      </c>
      <c r="I5" s="34" t="inlineStr">
        <is>
          <t>https://github.com/CagataySonmez/EdgeCloudSim</t>
        </is>
      </c>
      <c r="J5" s="13" t="inlineStr">
        <is>
          <t>Use as the primary simulation tool for your Capstone project and initial PhD proposal experiments.</t>
        </is>
      </c>
    </row>
    <row r="6">
      <c r="A6" s="17" t="inlineStr">
        <is>
          <t>iFogSim / iFogSim2</t>
        </is>
      </c>
      <c r="B6" s="16" t="inlineStr">
        <is>
          <t>Fog/Edge Discrete Simulator</t>
        </is>
      </c>
      <c r="C6" s="17" t="inlineStr">
        <is>
          <t>Hierarchical Fog-to-Cloud infrastructure, Sense-Compute-Actuate loops, energy consumption, and distributed dataflow DAGs.</t>
        </is>
      </c>
      <c r="D6" s="17" t="inlineStr">
        <is>
          <t>Excellent built-in energy consumption models and stream processing DAG placement algorithms across IoT/Fog nodes.</t>
        </is>
      </c>
      <c r="E6" s="17" t="inlineStr">
        <is>
          <t>Mobility modeling is relatively primitive in basic version; scalability drops under massive dynamic mobile node counts.</t>
        </is>
      </c>
      <c r="F6" s="17" t="inlineStr">
        <is>
          <t>IoT stream analytics placement, energy-aware fog resource scheduling, smart city telemetry.</t>
        </is>
      </c>
      <c r="G6" s="32" t="n">
        <v>3</v>
      </c>
      <c r="H6" s="19" t="inlineStr">
        <is>
          <t>Highly Recommended</t>
        </is>
      </c>
      <c r="I6" s="31" t="inlineStr">
        <is>
          <t>https://github.com/Cloudslab/iFogSim</t>
        </is>
      </c>
      <c r="J6" s="17" t="inlineStr">
        <is>
          <t>Use when research explicitly focuses on hierarchical energy modeling and multi-operator IoT stream processing.</t>
        </is>
      </c>
    </row>
    <row r="7">
      <c r="A7" s="13" t="inlineStr">
        <is>
          <t>CloudSim / CloudSim Plus</t>
        </is>
      </c>
      <c r="B7" s="12" t="inlineStr">
        <is>
          <t>Cloud Infrastructure Simulator</t>
        </is>
      </c>
      <c r="C7" s="13" t="inlineStr">
        <is>
          <t>Datacenter virtualization, VM provisioning, host CPU scheduling, power consumption, and storage provisioning.</t>
        </is>
      </c>
      <c r="D7" s="13" t="inlineStr">
        <is>
          <t>The global gold-standard foundation for cloud computing research; battle-tested with hundreds of extension modules.</t>
        </is>
      </c>
      <c r="E7" s="13" t="inlineStr">
        <is>
          <t>Pure cloud focus; lacks native models for edge device mobility, wireless channel fading, and multi-access edge handovers.</t>
        </is>
      </c>
      <c r="F7" s="13" t="inlineStr">
        <is>
          <t>Centralized cloud resource provisioning, datacenter energy optimization, VM migration algorithms.</t>
        </is>
      </c>
      <c r="G7" s="35" t="n">
        <v>2</v>
      </c>
      <c r="H7" s="15" t="inlineStr">
        <is>
          <t>Good for Baselines</t>
        </is>
      </c>
      <c r="I7" s="34" t="inlineStr">
        <is>
          <t>https://github.com/cloudsimplus/cloudsimplus</t>
        </is>
      </c>
      <c r="J7" s="13" t="inlineStr">
        <is>
          <t>Understand its architecture because EdgeCloudSim and iFogSim extend it directly.</t>
        </is>
      </c>
    </row>
    <row r="8">
      <c r="A8" s="17" t="inlineStr">
        <is>
          <t>ns-3 (Network Simulator 3)</t>
        </is>
      </c>
      <c r="B8" s="16" t="inlineStr">
        <is>
          <t>Packet-Level Network Simulator</t>
        </is>
      </c>
      <c r="C8" s="17" t="inlineStr">
        <is>
          <t>Discrete-event packet-level network protocols (TCP/IP, 802.11 Wi-Fi, 4G LTE, 5G NR, routing, MAC layer queues).</t>
        </is>
      </c>
      <c r="D8" s="17" t="inlineStr">
        <is>
          <t>Extreme realism at physical and link layers; authoritative standard for telecommunications research.</t>
        </is>
      </c>
      <c r="E8" s="17" t="inlineStr">
        <is>
          <t>High learning curve (C++/Python); computationally heavy when simulating complex application compute workloads for thousands of nodes.</t>
        </is>
      </c>
      <c r="F8" s="17" t="inlineStr">
        <is>
          <t>Joint wireless channel and MEC scheduling, 5G NR Beamforming, URLLC packet latency validation.</t>
        </is>
      </c>
      <c r="G8" s="32" t="n">
        <v>5</v>
      </c>
      <c r="H8" s="19" t="inlineStr">
        <is>
          <t>Essential for Comms PhD</t>
        </is>
      </c>
      <c r="I8" s="31" t="inlineStr">
        <is>
          <t>https://www.nsnam.org/</t>
        </is>
      </c>
      <c r="J8" s="17" t="inlineStr">
        <is>
          <t>Essential if your PhD focus is communication-centric MEC; pair with Simu5G for cellular edge.</t>
        </is>
      </c>
    </row>
    <row r="9">
      <c r="A9" s="13" t="inlineStr">
        <is>
          <t>Simu5G / SimuLTE (OMNeT++)</t>
        </is>
      </c>
      <c r="B9" s="12" t="inlineStr">
        <is>
          <t>5G Cellular MEC Simulator</t>
        </is>
      </c>
      <c r="C9" s="13" t="inlineStr">
        <is>
          <t>5G New Radio (NR) User Plane, gNodeB base stations, 5G Core (UPF) MEC data planes, and V2X sidelink communication.</t>
        </is>
      </c>
      <c r="D9" s="13" t="inlineStr">
        <is>
          <t>Unmatched accuracy for 5G cellular MEC integration, network slicing QoS, and vehicular communication (V2X).</t>
        </is>
      </c>
      <c r="E9" s="13" t="inlineStr">
        <is>
          <t>Requires OMNeT++ IDE environment; steep learning curve for non-telecommunications engineers.</t>
        </is>
      </c>
      <c r="F9" s="13" t="inlineStr">
        <is>
          <t>5G MEC UPF placement, vehicular edge computing, URLLC latency bounds.</t>
        </is>
      </c>
      <c r="G9" s="35" t="n">
        <v>4</v>
      </c>
      <c r="H9" s="15" t="inlineStr">
        <is>
          <t>Highly Recommended (5G/6G)</t>
        </is>
      </c>
      <c r="I9" s="34" t="inlineStr">
        <is>
          <t>https://simu5g.org/</t>
        </is>
      </c>
      <c r="J9" s="13" t="inlineStr">
        <is>
          <t>Top recommendation if your PhD proposal focuses on 5G/6G cellular edge or autonomous vehicles.</t>
        </is>
      </c>
    </row>
    <row r="10">
      <c r="A10" s="17" t="inlineStr">
        <is>
          <t>Mininet / Mininet-WiFi</t>
        </is>
      </c>
      <c r="B10" s="16" t="inlineStr">
        <is>
          <t>Network Emulation Framework</t>
        </is>
      </c>
      <c r="C10" s="17" t="inlineStr">
        <is>
          <t>Software-defined networking (SDN), OpenFlow switches, Linux network namespaces, and emulated Wi-Fi access points.</t>
        </is>
      </c>
      <c r="D10" s="17" t="inlineStr">
        <is>
          <t>Runs real unmodified Linux kernel network stacks and real application binaries; interacts with real SDN controllers (ONOS, Ryu).</t>
        </is>
      </c>
      <c r="E10" s="17" t="inlineStr">
        <is>
          <t>Limited to a single machine's resource limits; cannot simulate millions of nodes faster than real-time.</t>
        </is>
      </c>
      <c r="F10" s="17" t="inlineStr">
        <is>
          <t>SDN-enabled edge traffic routing, dynamic bandwidth throttling, real-world protocol testing.</t>
        </is>
      </c>
      <c r="G10" s="32" t="n">
        <v>3</v>
      </c>
      <c r="H10" s="19" t="inlineStr">
        <is>
          <t>Highly Recommended (SDN)</t>
        </is>
      </c>
      <c r="I10" s="31" t="inlineStr">
        <is>
          <t>http://mininet.org/</t>
        </is>
      </c>
      <c r="J10" s="17" t="inlineStr">
        <is>
          <t>Ideal for prototyping custom SDN routing controllers and validating MQTT under network throttling.</t>
        </is>
      </c>
    </row>
    <row r="11">
      <c r="A11" s="13" t="inlineStr">
        <is>
          <t>K3s / KubeEdge Testbed</t>
        </is>
      </c>
      <c r="B11" s="12" t="inlineStr">
        <is>
          <t>Real-World Edge Orchestration</t>
        </is>
      </c>
      <c r="C11" s="13" t="inlineStr">
        <is>
          <t>Production-grade lightweight Kubernetes clusters running on real hardware (Raspberry Pis, Jetson Nano, x86 mini-PCs).</t>
        </is>
      </c>
      <c r="D11" s="13" t="inlineStr">
        <is>
          <t>100% realistic real-world deployment; zero simulation bias. Uncovers OS, kernel, and real hardware bottlenecks.</t>
        </is>
      </c>
      <c r="E11" s="13" t="inlineStr">
        <is>
          <t>Hardware cost required; experiments take physical clock time to run; difficult to test 10,000 nodes without cloud emulators.</t>
        </is>
      </c>
      <c r="F11" s="13" t="inlineStr">
        <is>
          <t>Validating PhD algorithms in real physical testbeds; final paper empirical validation section.</t>
        </is>
      </c>
      <c r="G11" s="35" t="n">
        <v>3</v>
      </c>
      <c r="H11" s="15" t="inlineStr">
        <is>
          <t>Essential for Systems PhD</t>
        </is>
      </c>
      <c r="I11" s="34" t="inlineStr">
        <is>
          <t>https://k3s.io/</t>
        </is>
      </c>
      <c r="J11" s="13" t="inlineStr">
        <is>
          <t>Build a 2-3 node testbed during Months 3-5 to provide bulletproof empirical credibility for your PhD application.</t>
        </is>
      </c>
    </row>
  </sheetData>
  <mergeCells count="2">
    <mergeCell ref="A1:J2"/>
    <mergeCell ref="A3:J3"/>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4"/>
  <sheetViews>
    <sheetView showGridLines="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38" customWidth="1" min="3" max="3"/>
    <col width="28" customWidth="1" min="4" max="4"/>
    <col width="24" customWidth="1" min="5" max="5"/>
    <col width="12" customWidth="1" min="6" max="6"/>
    <col width="42" customWidth="1" min="7" max="7"/>
    <col width="25" customWidth="1" min="8" max="8"/>
  </cols>
  <sheetData>
    <row r="1">
      <c r="A1" s="1" t="inlineStr">
        <is>
          <t>CURATED PhD LEARNING PATHWAY — 100% STRICTLY FREE OPEN-ACCESS</t>
        </is>
      </c>
    </row>
    <row r="2"/>
    <row r="3">
      <c r="A3" s="2" t="inlineStr">
        <is>
          <t>Zero Paywalls. Eliminates cognitive overload. Strictly separates non-negotiable core mastery from specialized optional topics.</t>
        </is>
      </c>
    </row>
    <row r="4" ht="28" customHeight="1">
      <c r="A4" s="11" t="inlineStr">
        <is>
          <t>Selection Tier</t>
        </is>
      </c>
      <c r="B4" s="11" t="inlineStr">
        <is>
          <t>Thematic Focus</t>
        </is>
      </c>
      <c r="C4" s="11" t="inlineStr">
        <is>
          <t>Resource Title</t>
        </is>
      </c>
      <c r="D4" s="11" t="inlineStr">
        <is>
          <t>Institution / Platform</t>
        </is>
      </c>
      <c r="E4" s="11" t="inlineStr">
        <is>
          <t>Access / Cost</t>
        </is>
      </c>
      <c r="F4" s="11" t="inlineStr">
        <is>
          <t>Est. Hours</t>
        </is>
      </c>
      <c r="G4" s="11" t="inlineStr">
        <is>
          <t>Why This Resource is Included</t>
        </is>
      </c>
      <c r="H4" s="11" t="inlineStr">
        <is>
          <t>Expected Key Milestone</t>
        </is>
      </c>
    </row>
    <row r="5">
      <c r="A5" s="47" t="inlineStr">
        <is>
          <t>Tier 1: Must Take</t>
        </is>
      </c>
      <c r="B5" s="48" t="inlineStr">
        <is>
          <t>Edge Fundamentals</t>
        </is>
      </c>
      <c r="C5" s="48" t="inlineStr">
        <is>
          <t>Linux Foundation: Intro to Edge Computing &amp; Shi (2016) Vision Paper</t>
        </is>
      </c>
      <c r="D5" s="48" t="inlineStr">
        <is>
          <t>LF Edge / IEEE</t>
        </is>
      </c>
      <c r="E5" s="48" t="inlineStr">
        <is>
          <t>100% Free Open Access</t>
        </is>
      </c>
      <c r="F5" s="49" t="n">
        <v>16</v>
      </c>
      <c r="G5" s="48" t="inlineStr">
        <is>
          <t>Establishes standard industrial and academic taxonomy without vendor bias.</t>
        </is>
      </c>
      <c r="H5" s="48" t="inlineStr">
        <is>
          <t>Taxonomy Memorandum</t>
        </is>
      </c>
    </row>
    <row r="6">
      <c r="A6" s="47" t="inlineStr">
        <is>
          <t>Tier 1: Must Take</t>
        </is>
      </c>
      <c r="B6" s="48" t="inlineStr">
        <is>
          <t>Networking Depth</t>
        </is>
      </c>
      <c r="C6" s="48" t="inlineStr">
        <is>
          <t>Stanford CS144: Introduction to Computer Networking</t>
        </is>
      </c>
      <c r="D6" s="48" t="inlineStr">
        <is>
          <t>Stanford University</t>
        </is>
      </c>
      <c r="E6" s="48" t="inlineStr">
        <is>
          <t>100% Free OpenCourseWare</t>
        </is>
      </c>
      <c r="F6" s="49" t="n">
        <v>35</v>
      </c>
      <c r="G6" s="48" t="inlineStr">
        <is>
          <t>Rigorous graduate-level networking foundation (TCP/IP, latency, buffers).</t>
        </is>
      </c>
      <c r="H6" s="48" t="inlineStr">
        <is>
          <t>Network Latency Lab</t>
        </is>
      </c>
    </row>
    <row r="7">
      <c r="A7" s="47" t="inlineStr">
        <is>
          <t>Tier 1: Must Take</t>
        </is>
      </c>
      <c r="B7" s="48" t="inlineStr">
        <is>
          <t>Distributed Systems</t>
        </is>
      </c>
      <c r="C7" s="48" t="inlineStr">
        <is>
          <t>MIT 6.5840 / 6.824: Distributed Systems (Prof. Robert Morris)</t>
        </is>
      </c>
      <c r="D7" s="48" t="inlineStr">
        <is>
          <t>MIT CSAIL / YouTube</t>
        </is>
      </c>
      <c r="E7" s="48" t="inlineStr">
        <is>
          <t>100% Free Full Materials</t>
        </is>
      </c>
      <c r="F7" s="49" t="n">
        <v>45</v>
      </c>
      <c r="G7" s="48" t="inlineStr">
        <is>
          <t>Non-negotiable bedrock for all edge systems research (Raft, RPC, consistency).</t>
        </is>
      </c>
      <c r="H7" s="48" t="inlineStr">
        <is>
          <t>Raft Consensus Lab</t>
        </is>
      </c>
    </row>
    <row r="8">
      <c r="A8" s="47" t="inlineStr">
        <is>
          <t>Tier 1: Must Take</t>
        </is>
      </c>
      <c r="B8" s="48" t="inlineStr">
        <is>
          <t>Cloud-Native Orchestration</t>
        </is>
      </c>
      <c r="C8" s="48" t="inlineStr">
        <is>
          <t>LFS156x: Intro to Kubernetes on Edge with K3s</t>
        </is>
      </c>
      <c r="D8" s="48" t="inlineStr">
        <is>
          <t>Linux Foundation / edX</t>
        </is>
      </c>
      <c r="E8" s="48" t="inlineStr">
        <is>
          <t>100% Free Audit Track</t>
        </is>
      </c>
      <c r="F8" s="49" t="n">
        <v>15</v>
      </c>
      <c r="G8" s="48" t="inlineStr">
        <is>
          <t>Directly addresses container orchestration on resource-constrained edge hardware.</t>
        </is>
      </c>
      <c r="H8" s="48" t="inlineStr">
        <is>
          <t>K3s Cluster Deployment</t>
        </is>
      </c>
    </row>
    <row r="9">
      <c r="A9" s="47" t="inlineStr">
        <is>
          <t>Tier 1: Must Take</t>
        </is>
      </c>
      <c r="B9" s="48" t="inlineStr">
        <is>
          <t>MEC Standards</t>
        </is>
      </c>
      <c r="C9" s="48" t="inlineStr">
        <is>
          <t>ETSI GS MEC 003 Architectural Specification &amp; Whitepapers</t>
        </is>
      </c>
      <c r="D9" s="48" t="inlineStr">
        <is>
          <t>ETSI Standards</t>
        </is>
      </c>
      <c r="E9" s="48" t="inlineStr">
        <is>
          <t>100% Free Open Standards</t>
        </is>
      </c>
      <c r="F9" s="49" t="n">
        <v>15</v>
      </c>
      <c r="G9" s="48" t="inlineStr">
        <is>
          <t>Authoritative telecommunications framework governing multi-access edge computing.</t>
        </is>
      </c>
      <c r="H9" s="48" t="inlineStr">
        <is>
          <t>MEC Architecture Map</t>
        </is>
      </c>
    </row>
    <row r="10">
      <c r="A10" s="47" t="inlineStr">
        <is>
          <t>Tier 1: Must Take</t>
        </is>
      </c>
      <c r="B10" s="48" t="inlineStr">
        <is>
          <t>Optimization Theory</t>
        </is>
      </c>
      <c r="C10" s="48" t="inlineStr">
        <is>
          <t>Stanford EE364a: Convex Optimization I (Prof. Stephen Boyd)</t>
        </is>
      </c>
      <c r="D10" s="48" t="inlineStr">
        <is>
          <t>Stanford University</t>
        </is>
      </c>
      <c r="E10" s="48" t="inlineStr">
        <is>
          <t>100% Free Book &amp; Lectures</t>
        </is>
      </c>
      <c r="F10" s="49" t="n">
        <v>35</v>
      </c>
      <c r="G10" s="48" t="inlineStr">
        <is>
          <t>Mathematical formulation tool for all computation offloading &amp; resource allocation.</t>
        </is>
      </c>
      <c r="H10" s="48" t="inlineStr">
        <is>
          <t>CVXPY Offloading Model</t>
        </is>
      </c>
    </row>
    <row r="11">
      <c r="A11" s="47" t="inlineStr">
        <is>
          <t>Tier 1: Must Take</t>
        </is>
      </c>
      <c r="B11" s="48" t="inlineStr">
        <is>
          <t>Edge AI &amp; TinyML</t>
        </is>
      </c>
      <c r="C11" s="48" t="inlineStr">
        <is>
          <t>Harvard CS249r: TinyML Course Materials &amp; Textbook</t>
        </is>
      </c>
      <c r="D11" s="48" t="inlineStr">
        <is>
          <t>Harvard University Edge AI</t>
        </is>
      </c>
      <c r="E11" s="48" t="inlineStr">
        <is>
          <t>100% Free Open Materials</t>
        </is>
      </c>
      <c r="F11" s="49" t="n">
        <v>30</v>
      </c>
      <c r="G11" s="48" t="inlineStr">
        <is>
          <t>Teaches quantization, pruning, and low-power embedded neural inference.</t>
        </is>
      </c>
      <c r="H11" s="48" t="inlineStr">
        <is>
          <t>Quantized Edge AI Model</t>
        </is>
      </c>
    </row>
    <row r="12">
      <c r="A12" s="47" t="inlineStr">
        <is>
          <t>Tier 1: Must Take</t>
        </is>
      </c>
      <c r="B12" s="48" t="inlineStr">
        <is>
          <t>Federated Intelligence</t>
        </is>
      </c>
      <c r="C12" s="48" t="inlineStr">
        <is>
          <t>Flower.ai Framework Tutorials &amp; McMahan FedAvg Paper</t>
        </is>
      </c>
      <c r="D12" s="48" t="inlineStr">
        <is>
          <t>Flower.ai / Cambridge</t>
        </is>
      </c>
      <c r="E12" s="48" t="inlineStr">
        <is>
          <t>100% Free Open Source</t>
        </is>
      </c>
      <c r="F12" s="49" t="n">
        <v>20</v>
      </c>
      <c r="G12" s="48" t="inlineStr">
        <is>
          <t>Hands-on implementation of decentralized privacy-preserving edge machine learning.</t>
        </is>
      </c>
      <c r="H12" s="48" t="inlineStr">
        <is>
          <t>Federated Learning Code</t>
        </is>
      </c>
    </row>
    <row r="13">
      <c r="A13" s="47" t="inlineStr">
        <is>
          <t>Tier 1: Must Take</t>
        </is>
      </c>
      <c r="B13" s="48" t="inlineStr">
        <is>
          <t>Simulation Platform</t>
        </is>
      </c>
      <c r="C13" s="48" t="inlineStr">
        <is>
          <t>EdgeCloudSim: Environment for Performance Evaluation</t>
        </is>
      </c>
      <c r="D13" s="48" t="inlineStr">
        <is>
          <t>Boğaziçi University</t>
        </is>
      </c>
      <c r="E13" s="48" t="inlineStr">
        <is>
          <t>100% Free Open Source</t>
        </is>
      </c>
      <c r="F13" s="49" t="n">
        <v>20</v>
      </c>
      <c r="G13" s="48" t="inlineStr">
        <is>
          <t>Primary research simulator for generating empirical data for PhD proposal.</t>
        </is>
      </c>
      <c r="H13" s="48" t="inlineStr">
        <is>
          <t>Capstone Simulation</t>
        </is>
      </c>
    </row>
    <row r="14">
      <c r="A14" s="47" t="inlineStr">
        <is>
          <t>Tier 1: Must Take</t>
        </is>
      </c>
      <c r="B14" s="48" t="inlineStr">
        <is>
          <t>Research Methodology</t>
        </is>
      </c>
      <c r="C14" s="48" t="inlineStr">
        <is>
          <t>Writing in the Sciences (Dr. Kristin Sainani)</t>
        </is>
      </c>
      <c r="D14" s="48" t="inlineStr">
        <is>
          <t>Stanford Online / Coursera</t>
        </is>
      </c>
      <c r="E14" s="48" t="inlineStr">
        <is>
          <t>100% Free Audit Track</t>
        </is>
      </c>
      <c r="F14" s="49" t="n">
        <v>15</v>
      </c>
      <c r="G14" s="48" t="inlineStr">
        <is>
          <t>Essential guidance on paper structuring, abstract drafting, and proposal defense.</t>
        </is>
      </c>
      <c r="H14" s="48" t="inlineStr">
        <is>
          <t>PhD Research Proposal</t>
        </is>
      </c>
    </row>
    <row r="15">
      <c r="A15" s="50" t="inlineStr">
        <is>
          <t>Tier 2: Strongly Recommended</t>
        </is>
      </c>
      <c r="B15" s="51" t="inlineStr">
        <is>
          <t>SDN Networking</t>
        </is>
      </c>
      <c r="C15" s="51" t="inlineStr">
        <is>
          <t>Georgia Tech CS6250: Software-Defined Networking</t>
        </is>
      </c>
      <c r="D15" s="51" t="inlineStr">
        <is>
          <t>Georgia Tech / YouTube</t>
        </is>
      </c>
      <c r="E15" s="51" t="inlineStr">
        <is>
          <t>100% Free Full Lectures</t>
        </is>
      </c>
      <c r="F15" s="52" t="n">
        <v>25</v>
      </c>
      <c r="G15" s="51" t="inlineStr">
        <is>
          <t>Dynamic network slicing and programmable control plane mastery.</t>
        </is>
      </c>
      <c r="H15" s="51" t="inlineStr">
        <is>
          <t>Mininet Controller</t>
        </is>
      </c>
    </row>
    <row r="16">
      <c r="A16" s="50" t="inlineStr">
        <is>
          <t>Tier 2: Strongly Recommended</t>
        </is>
      </c>
      <c r="B16" s="51" t="inlineStr">
        <is>
          <t>Data Systems</t>
        </is>
      </c>
      <c r="C16" s="51" t="inlineStr">
        <is>
          <t>Distributed Systems Theory Course (Dr. Martin Kleppmann)</t>
        </is>
      </c>
      <c r="D16" s="51" t="inlineStr">
        <is>
          <t>Cambridge / YouTube</t>
        </is>
      </c>
      <c r="E16" s="51" t="inlineStr">
        <is>
          <t>100% Free Full Course</t>
        </is>
      </c>
      <c r="F16" s="52" t="n">
        <v>20</v>
      </c>
      <c r="G16" s="51" t="inlineStr">
        <is>
          <t>Superb coverage of replication, partitioning, transactions, and CRDTs.</t>
        </is>
      </c>
      <c r="H16" s="51" t="inlineStr">
        <is>
          <t>CRDT State Sync Script</t>
        </is>
      </c>
    </row>
    <row r="17">
      <c r="A17" s="50" t="inlineStr">
        <is>
          <t>Tier 2: Strongly Recommended</t>
        </is>
      </c>
      <c r="B17" s="51" t="inlineStr">
        <is>
          <t>5G Telecommunications</t>
        </is>
      </c>
      <c r="C17" s="51" t="inlineStr">
        <is>
          <t>5G Network Architecture and Slicing</t>
        </is>
      </c>
      <c r="D17" s="51" t="inlineStr">
        <is>
          <t>EURECOM / Coursera</t>
        </is>
      </c>
      <c r="E17" s="51" t="inlineStr">
        <is>
          <t>100% Free Audit Track</t>
        </is>
      </c>
      <c r="F17" s="52" t="n">
        <v>20</v>
      </c>
      <c r="G17" s="51" t="inlineStr">
        <is>
          <t>Detailed study of 5G SBA, UPF placement, and URLLC QoS specifications.</t>
        </is>
      </c>
      <c r="H17" s="51" t="inlineStr">
        <is>
          <t>5G Slicing Analysis</t>
        </is>
      </c>
    </row>
    <row r="18">
      <c r="A18" s="50" t="inlineStr">
        <is>
          <t>Tier 2: Strongly Recommended</t>
        </is>
      </c>
      <c r="B18" s="51" t="inlineStr">
        <is>
          <t>6G Vision</t>
        </is>
      </c>
      <c r="C18" s="51" t="inlineStr">
        <is>
          <t>Toward 6G: Evolution, Drivers and Key Technologies</t>
        </is>
      </c>
      <c r="D18" s="51" t="inlineStr">
        <is>
          <t>Univ of Oulu 6G Flagship</t>
        </is>
      </c>
      <c r="E18" s="51" t="inlineStr">
        <is>
          <t>100% Free Open Reports</t>
        </is>
      </c>
      <c r="F18" s="52" t="n">
        <v>15</v>
      </c>
      <c r="G18" s="51" t="inlineStr">
        <is>
          <t>Visionary telecommunications concepts: ISAC, sub-THz, distributed AI.</t>
        </is>
      </c>
      <c r="H18" s="51" t="inlineStr">
        <is>
          <t>6G Thesis Hypothesis</t>
        </is>
      </c>
    </row>
    <row r="19">
      <c r="A19" s="50" t="inlineStr">
        <is>
          <t>Tier 2: Strongly Recommended</t>
        </is>
      </c>
      <c r="B19" s="51" t="inlineStr">
        <is>
          <t>Reinforcement Learning</t>
        </is>
      </c>
      <c r="C19" s="51" t="inlineStr">
        <is>
          <t>Reinforcement Learning Course (Prof. David Silver)</t>
        </is>
      </c>
      <c r="D19" s="51" t="inlineStr">
        <is>
          <t>UCL &amp; DeepMind / YouTube</t>
        </is>
      </c>
      <c r="E19" s="51" t="inlineStr">
        <is>
          <t>100% Free Full Lectures</t>
        </is>
      </c>
      <c r="F19" s="52" t="n">
        <v>30</v>
      </c>
      <c r="G19" s="51" t="inlineStr">
        <is>
          <t>MDPs and Deep Q-Networks for dynamic edge task scheduling.</t>
        </is>
      </c>
      <c r="H19" s="51" t="inlineStr">
        <is>
          <t>RL Load Balancer</t>
        </is>
      </c>
    </row>
    <row r="20">
      <c r="A20" s="19" t="inlineStr">
        <is>
          <t>Tier 3: Optional</t>
        </is>
      </c>
      <c r="B20" s="17" t="inlineStr">
        <is>
          <t>IoT Protocols</t>
        </is>
      </c>
      <c r="C20" s="17" t="inlineStr">
        <is>
          <t>Introduction to the Internet of Things (IoT)</t>
        </is>
      </c>
      <c r="D20" s="17" t="inlineStr">
        <is>
          <t>Curtin University / edX</t>
        </is>
      </c>
      <c r="E20" s="17" t="inlineStr">
        <is>
          <t>100% Free Audit Track</t>
        </is>
      </c>
      <c r="F20" s="32" t="n">
        <v>18</v>
      </c>
      <c r="G20" s="17" t="inlineStr">
        <is>
          <t>Good refresher on embedded sensors, actuators, MQTT, and CoAP.</t>
        </is>
      </c>
      <c r="H20" s="17" t="inlineStr">
        <is>
          <t>MQTT Broker Benchmark</t>
        </is>
      </c>
    </row>
    <row r="21">
      <c r="A21" s="19" t="inlineStr">
        <is>
          <t>Tier 3: Optional</t>
        </is>
      </c>
      <c r="B21" s="17" t="inlineStr">
        <is>
          <t>Observability</t>
        </is>
      </c>
      <c r="C21" s="17" t="inlineStr">
        <is>
          <t>Cloud Native Observability with OpenTelemetry</t>
        </is>
      </c>
      <c r="D21" s="17" t="inlineStr">
        <is>
          <t>OpenTelemetry Community</t>
        </is>
      </c>
      <c r="E21" s="17" t="inlineStr">
        <is>
          <t>100% Free Open Docs</t>
        </is>
      </c>
      <c r="F21" s="32" t="n">
        <v>12</v>
      </c>
      <c r="G21" s="17" t="inlineStr">
        <is>
          <t>OpenTelemetry and Prometheus distributed tracing for edge telemetry.</t>
        </is>
      </c>
      <c r="H21" s="17" t="inlineStr">
        <is>
          <t>Prometheus Edge Log</t>
        </is>
      </c>
    </row>
    <row r="22">
      <c r="A22" s="19" t="inlineStr">
        <is>
          <t>Tier 3: Optional</t>
        </is>
      </c>
      <c r="B22" s="17" t="inlineStr">
        <is>
          <t>Serverless FaaS</t>
        </is>
      </c>
      <c r="C22" s="17" t="inlineStr">
        <is>
          <t>Serverless Computing and Microservices Patterns</t>
        </is>
      </c>
      <c r="D22" s="17" t="inlineStr">
        <is>
          <t>AWS Serverless Land</t>
        </is>
      </c>
      <c r="E22" s="17" t="inlineStr">
        <is>
          <t>100% Free Open Guides</t>
        </is>
      </c>
      <c r="F22" s="32" t="n">
        <v>12</v>
      </c>
      <c r="G22" s="17" t="inlineStr">
        <is>
          <t>FaaS event triggers and cold-start mitigations.</t>
        </is>
      </c>
      <c r="H22" s="17" t="inlineStr">
        <is>
          <t>OpenFaaS Latency Log</t>
        </is>
      </c>
    </row>
    <row r="23">
      <c r="A23" s="15" t="inlineStr">
        <is>
          <t>Tier 4: Reference Only</t>
        </is>
      </c>
      <c r="B23" s="13" t="inlineStr">
        <is>
          <t>Network Text</t>
        </is>
      </c>
      <c r="C23" s="13" t="inlineStr">
        <is>
          <t>Computer Networks: A Top-Down Approach (Lectures)</t>
        </is>
      </c>
      <c r="D23" s="13" t="inlineStr">
        <is>
          <t>UMass Amherst</t>
        </is>
      </c>
      <c r="E23" s="13" t="inlineStr">
        <is>
          <t>100% Free Video Lectures</t>
        </is>
      </c>
      <c r="F23" s="35" t="n">
        <v>0</v>
      </c>
      <c r="G23" s="13" t="inlineStr">
        <is>
          <t>Keep on hand as the definitive reference for core network protocols.</t>
        </is>
      </c>
      <c r="H23" s="13" t="inlineStr">
        <is>
          <t>Reference Guide</t>
        </is>
      </c>
    </row>
    <row r="24">
      <c r="A24" s="15" t="inlineStr">
        <is>
          <t>Tier 4: Reference Only</t>
        </is>
      </c>
      <c r="B24" s="13" t="inlineStr">
        <is>
          <t>FL Treatise</t>
        </is>
      </c>
      <c r="C24" s="13" t="inlineStr">
        <is>
          <t>Advances and Open Problems in Federated Learning (arXiv)</t>
        </is>
      </c>
      <c r="D24" s="13" t="inlineStr">
        <is>
          <t>Google Research</t>
        </is>
      </c>
      <c r="E24" s="13" t="inlineStr">
        <is>
          <t>100% Free Open Access</t>
        </is>
      </c>
      <c r="F24" s="35" t="n">
        <v>0</v>
      </c>
      <c r="G24" s="13" t="inlineStr">
        <is>
          <t>Exhaustive 200-page survey to reference for open problems in privacy.</t>
        </is>
      </c>
      <c r="H24" s="13" t="inlineStr">
        <is>
          <t>Zotero Library Item</t>
        </is>
      </c>
    </row>
  </sheetData>
  <mergeCells count="2">
    <mergeCell ref="A1:H2"/>
    <mergeCell ref="A3:H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showGridLines="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8" customWidth="1" min="2" max="2"/>
    <col width="16" customWidth="1" min="3" max="3"/>
    <col width="32" customWidth="1" min="4" max="4"/>
    <col width="42" customWidth="1" min="5" max="5"/>
    <col width="15" customWidth="1" min="6" max="6"/>
    <col width="35" customWidth="1" min="7" max="7"/>
  </cols>
  <sheetData>
    <row r="1">
      <c r="A1" s="1" t="inlineStr">
        <is>
          <t>PhD APPLICANT READINESS ASSESSMENT &amp; RUBRIC EVALUATION</t>
        </is>
      </c>
    </row>
    <row r="2"/>
    <row r="3">
      <c r="A3" s="2" t="inlineStr">
        <is>
          <t>Scoring Rubric: 0=Not Ready | 1=Basic Awareness | 2=Competent B.Eng. | 3=Strong Master's Level | 4=Research Ready (PhD Applicant)</t>
        </is>
      </c>
    </row>
    <row r="4" ht="28" customHeight="1">
      <c r="A4" s="11" t="inlineStr">
        <is>
          <t>Competency Area</t>
        </is>
      </c>
      <c r="B4" s="11" t="inlineStr">
        <is>
          <t>Specific PhD Readiness Assessment Criterion</t>
        </is>
      </c>
      <c r="C4" s="11" t="inlineStr">
        <is>
          <t>Self-Score (0-4)</t>
        </is>
      </c>
      <c r="D4" s="11" t="inlineStr">
        <is>
          <t>Required Evidence &amp; Demonstration</t>
        </is>
      </c>
      <c r="E4" s="11" t="inlineStr">
        <is>
          <t>Evaluation Guidance (What 'Research Ready' Looks Like)</t>
        </is>
      </c>
      <c r="F4" s="11" t="inlineStr">
        <is>
          <t>Status</t>
        </is>
      </c>
      <c r="G4" s="11" t="inlineStr">
        <is>
          <t>Verification Notes &amp; Action Items</t>
        </is>
      </c>
    </row>
    <row r="5">
      <c r="A5" s="13" t="inlineStr">
        <is>
          <t>Edge Foundations</t>
        </is>
      </c>
      <c r="B5" s="13" t="inlineStr">
        <is>
          <t>Explain Edge Computing clearly and why it is physically and economically necessary</t>
        </is>
      </c>
      <c r="C5" s="15" t="n">
        <v>4</v>
      </c>
      <c r="D5" s="13" t="inlineStr">
        <is>
          <t>1-Page Taxonomy Memorandum</t>
        </is>
      </c>
      <c r="E5" s="13" t="inlineStr">
        <is>
          <t>Can articulate latency speed-of-light limits, backhaul bandwidth bottlenecks, and data privacy drivers without vague buzzwords.</t>
        </is>
      </c>
      <c r="F5" s="15" t="inlineStr">
        <is>
          <t>Achieved</t>
        </is>
      </c>
      <c r="G5" s="13" t="inlineStr">
        <is>
          <t>Fully articulated in Month 1</t>
        </is>
      </c>
    </row>
    <row r="6">
      <c r="A6" s="17" t="inlineStr">
        <is>
          <t>Edge Foundations</t>
        </is>
      </c>
      <c r="B6" s="17" t="inlineStr">
        <is>
          <t>Differentiate Edge vs Cloud vs Fog vs Cloudlets vs MEC with precise architectural distinctions</t>
        </is>
      </c>
      <c r="C6" s="19" t="n">
        <v>4</v>
      </c>
      <c r="D6" s="17" t="inlineStr">
        <is>
          <t>Comparative Taxonomy Architecture Map</t>
        </is>
      </c>
      <c r="E6" s="17" t="inlineStr">
        <is>
          <t>Can explain standard bodies (ETSI MEC vs OpenFog vs CNCF) and exact network tier placements.</t>
        </is>
      </c>
      <c r="F6" s="19" t="inlineStr">
        <is>
          <t>Achieved</t>
        </is>
      </c>
      <c r="G6" s="17" t="inlineStr">
        <is>
          <t>Diagrammed in Month 1</t>
        </is>
      </c>
    </row>
    <row r="7">
      <c r="A7" s="13" t="inlineStr">
        <is>
          <t>Edge Foundations</t>
        </is>
      </c>
      <c r="B7" s="13" t="inlineStr">
        <is>
          <t>Explain device-edge-cloud hierarchical interaction and resource discovery models</t>
        </is>
      </c>
      <c r="C7" s="15" t="n">
        <v>3</v>
      </c>
      <c r="D7" s="13" t="inlineStr">
        <is>
          <t>Multi-tier Dataflow Simulation Script</t>
        </is>
      </c>
      <c r="E7" s="13" t="inlineStr">
        <is>
          <t>Can describe how edge brokers register resources, handle DNS/IP routing, and offload to cloud.</t>
        </is>
      </c>
      <c r="F7" s="15" t="inlineStr">
        <is>
          <t>In Progress</t>
        </is>
      </c>
      <c r="G7" s="13" t="inlineStr">
        <is>
          <t>Refining in Month 3</t>
        </is>
      </c>
    </row>
    <row r="8">
      <c r="A8" s="17" t="inlineStr">
        <is>
          <t>Systems &amp; Consensus</t>
        </is>
      </c>
      <c r="B8" s="17" t="inlineStr">
        <is>
          <t>Explain distributed consensus (Paxos, Raft) and why it is challenging across edge nodes</t>
        </is>
      </c>
      <c r="C8" s="19" t="n">
        <v>3</v>
      </c>
      <c r="D8" s="17" t="inlineStr">
        <is>
          <t>Raft State Machine Implementation</t>
        </is>
      </c>
      <c r="E8" s="17" t="inlineStr">
        <is>
          <t>Can explain why network partitions and high round-trip times complicate quorum formation in edge clusters.</t>
        </is>
      </c>
      <c r="F8" s="19" t="inlineStr">
        <is>
          <t>In Progress</t>
        </is>
      </c>
      <c r="G8" s="17" t="inlineStr">
        <is>
          <t>Completing in Month 2</t>
        </is>
      </c>
    </row>
    <row r="9">
      <c r="A9" s="13" t="inlineStr">
        <is>
          <t>Cloud-Native Systems</t>
        </is>
      </c>
      <c r="B9" s="13" t="inlineStr">
        <is>
          <t>Explain container orchestration (K8s/K3s) and edge worker autonomy during disconnection</t>
        </is>
      </c>
      <c r="C9" s="15" t="n">
        <v>3</v>
      </c>
      <c r="D9" s="13" t="inlineStr">
        <is>
          <t>2-Node K3s Cluster Deployment</t>
        </is>
      </c>
      <c r="E9" s="13" t="inlineStr">
        <is>
          <t>Can explain how KubeEdge and K3s handle offline node operation and reconcile desired vs actual state.</t>
        </is>
      </c>
      <c r="F9" s="15" t="inlineStr">
        <is>
          <t>Not Started</t>
        </is>
      </c>
      <c r="G9" s="13" t="inlineStr">
        <is>
          <t>Scheduled for Month 3</t>
        </is>
      </c>
    </row>
    <row r="10">
      <c r="A10" s="17" t="inlineStr">
        <is>
          <t>Telecommunications</t>
        </is>
      </c>
      <c r="B10" s="17" t="inlineStr">
        <is>
          <t>Explain 5G/6G Core, Service-Based Architecture (SBA), UPF placement, and Network Slicing</t>
        </is>
      </c>
      <c r="C10" s="19" t="n">
        <v>3</v>
      </c>
      <c r="D10" s="17" t="inlineStr">
        <is>
          <t>5G Slicing &amp; UPF Case Study</t>
        </is>
      </c>
      <c r="E10" s="17" t="inlineStr">
        <is>
          <t>Can explain how 3GPP User Plane Functions integrate with ETSI MEC platforms to guarantee URLLC latency.</t>
        </is>
      </c>
      <c r="F10" s="19" t="inlineStr">
        <is>
          <t>Not Started</t>
        </is>
      </c>
      <c r="G10" s="17" t="inlineStr">
        <is>
          <t>Scheduled for Month 4</t>
        </is>
      </c>
    </row>
    <row r="11">
      <c r="A11" s="13" t="inlineStr">
        <is>
          <t>Optimization Theory</t>
        </is>
      </c>
      <c r="B11" s="13" t="inlineStr">
        <is>
          <t>Formulate computation offloading and resource allocation mathematically (Convex/LP/DRL)</t>
        </is>
      </c>
      <c r="C11" s="15" t="n">
        <v>3</v>
      </c>
      <c r="D11" s="13" t="inlineStr">
        <is>
          <t>CVXPY Offloading Code &amp; Proof</t>
        </is>
      </c>
      <c r="E11" s="13" t="inlineStr">
        <is>
          <t>Can formulate multi-variable cost functions (energy + delay), identify constraints, and prove NP-hardness.</t>
        </is>
      </c>
      <c r="F11" s="15" t="inlineStr">
        <is>
          <t>Not Started</t>
        </is>
      </c>
      <c r="G11" s="13" t="inlineStr">
        <is>
          <t>Scheduled for Month 4</t>
        </is>
      </c>
    </row>
    <row r="12">
      <c r="A12" s="17" t="inlineStr">
        <is>
          <t>Edge AI / Intelligence</t>
        </is>
      </c>
      <c r="B12" s="17" t="inlineStr">
        <is>
          <t>Explain Edge AI trade-offs, model compression (quantization/pruning), and embedded inference</t>
        </is>
      </c>
      <c r="C12" s="19" t="n">
        <v>3</v>
      </c>
      <c r="D12" s="17" t="inlineStr">
        <is>
          <t>INT8 Quantized Neural Model Report</t>
        </is>
      </c>
      <c r="E12" s="17" t="inlineStr">
        <is>
          <t>Can explain post-training quantization vs quantization-aware training and memory bandwidth limits on NPUs.</t>
        </is>
      </c>
      <c r="F12" s="19" t="inlineStr">
        <is>
          <t>Not Started</t>
        </is>
      </c>
      <c r="G12" s="17" t="inlineStr">
        <is>
          <t>Scheduled for Month 5</t>
        </is>
      </c>
    </row>
    <row r="13">
      <c r="A13" s="13" t="inlineStr">
        <is>
          <t>Federated Learning</t>
        </is>
      </c>
      <c r="B13" s="13" t="inlineStr">
        <is>
          <t>Explain Federated Learning (FedAvg), client drift under non-IID data, and communication costs</t>
        </is>
      </c>
      <c r="C13" s="15" t="n">
        <v>3</v>
      </c>
      <c r="D13" s="13" t="inlineStr">
        <is>
          <t>Flower.ai 5-Node FL Simulation</t>
        </is>
      </c>
      <c r="E13" s="13" t="inlineStr">
        <is>
          <t>Can explain why heterogeneous client updates diverge and how gradient compression / FedProx mitigates drift.</t>
        </is>
      </c>
      <c r="F13" s="15" t="inlineStr">
        <is>
          <t>Not Started</t>
        </is>
      </c>
      <c r="G13" s="13" t="inlineStr">
        <is>
          <t>Scheduled for Month 5</t>
        </is>
      </c>
    </row>
    <row r="14">
      <c r="A14" s="17" t="inlineStr">
        <is>
          <t>Edge Security &amp; Privacy</t>
        </is>
      </c>
      <c r="B14" s="17" t="inlineStr">
        <is>
          <t>Explain Edge attack surfaces, Trusted Execution Environments (TEEs), and Differential Privacy</t>
        </is>
      </c>
      <c r="C14" s="19" t="n">
        <v>3</v>
      </c>
      <c r="D14" s="17" t="inlineStr">
        <is>
          <t>Differential Privacy Python Lab</t>
        </is>
      </c>
      <c r="E14" s="17" t="inlineStr">
        <is>
          <t>Can explain ARM TrustZone enclaves, secure aggregation in FL, and epsilon-delta privacy budgets.</t>
        </is>
      </c>
      <c r="F14" s="19" t="inlineStr">
        <is>
          <t>Not Started</t>
        </is>
      </c>
      <c r="G14" s="17" t="inlineStr">
        <is>
          <t>Scheduled for Month 5</t>
        </is>
      </c>
    </row>
    <row r="15">
      <c r="A15" s="13" t="inlineStr">
        <is>
          <t>Simulation Competence</t>
        </is>
      </c>
      <c r="B15" s="13" t="inlineStr">
        <is>
          <t>Set up and execute discrete-event simulations in EdgeCloudSim / ns-3 with realistic parameters</t>
        </is>
      </c>
      <c r="C15" s="15" t="n">
        <v>3</v>
      </c>
      <c r="D15" s="13" t="inlineStr">
        <is>
          <t>EdgeCloudSim Benchmark Run Data</t>
        </is>
      </c>
      <c r="E15" s="13" t="inlineStr">
        <is>
          <t>Can configure mobility models, network delay distributions, CPU task loads, and extract statistical results.</t>
        </is>
      </c>
      <c r="F15" s="15" t="inlineStr">
        <is>
          <t>Not Started</t>
        </is>
      </c>
      <c r="G15" s="13" t="inlineStr">
        <is>
          <t>Scheduled for Month 6</t>
        </is>
      </c>
    </row>
    <row r="16">
      <c r="A16" s="17" t="inlineStr">
        <is>
          <t>Research Methodology</t>
        </is>
      </c>
      <c r="B16" s="17" t="inlineStr">
        <is>
          <t>Read top-tier Edge Computing papers and rapidly extract RQs, methodologies, and limitations</t>
        </is>
      </c>
      <c r="C16" s="19" t="n">
        <v>4</v>
      </c>
      <c r="D16" s="17" t="inlineStr">
        <is>
          <t>15+ Completed Paper Reviews in Tracker</t>
        </is>
      </c>
      <c r="E16" s="17" t="inlineStr">
        <is>
          <t>Can critically dissect IEEE/ACM papers, identify unstated assumptions, and spot methodological flaws.</t>
        </is>
      </c>
      <c r="F16" s="19" t="inlineStr">
        <is>
          <t>In Progress</t>
        </is>
      </c>
      <c r="G16" s="17" t="inlineStr">
        <is>
          <t>Ongoing weekly task</t>
        </is>
      </c>
    </row>
    <row r="17">
      <c r="A17" s="13" t="inlineStr">
        <is>
          <t>Research Methodology</t>
        </is>
      </c>
      <c r="B17" s="13" t="inlineStr">
        <is>
          <t>Identify genuine open research gaps in current Edge Computing state-of-the-art literature</t>
        </is>
      </c>
      <c r="C17" s="15" t="n">
        <v>3</v>
      </c>
      <c r="D17" s="13" t="inlineStr">
        <is>
          <t>Research Idea Bank Entries</t>
        </is>
      </c>
      <c r="E17" s="13" t="inlineStr">
        <is>
          <t>Can distinguish incremental parameter tweaks from significant, publishable scientific research questions.</t>
        </is>
      </c>
      <c r="F17" s="15" t="inlineStr">
        <is>
          <t>In Progress</t>
        </is>
      </c>
      <c r="G17" s="13" t="inlineStr">
        <is>
          <t>4 RQs logged in Idea Bank</t>
        </is>
      </c>
    </row>
    <row r="18">
      <c r="A18" s="17" t="inlineStr">
        <is>
          <t>Research Methodology</t>
        </is>
      </c>
      <c r="B18" s="17" t="inlineStr">
        <is>
          <t>Design a rigorous scientific experiment with control baselines and appropriate statistical metrics</t>
        </is>
      </c>
      <c r="C18" s="19" t="n">
        <v>3</v>
      </c>
      <c r="D18" s="17" t="inlineStr">
        <is>
          <t>Capstone Experimental Plan</t>
        </is>
      </c>
      <c r="E18" s="17" t="inlineStr">
        <is>
          <t>Can establish proper independent/dependent variables, repeated trials, confidence intervals, and p-values.</t>
        </is>
      </c>
      <c r="F18" s="19" t="inlineStr">
        <is>
          <t>Not Started</t>
        </is>
      </c>
      <c r="G18" s="17" t="inlineStr">
        <is>
          <t>Scheduled for Month 6</t>
        </is>
      </c>
    </row>
    <row r="19">
      <c r="A19" s="13" t="inlineStr">
        <is>
          <t>Research Methodology</t>
        </is>
      </c>
      <c r="B19" s="13" t="inlineStr">
        <is>
          <t>Write a coherent, academically rigorous PhD Research Proposal in standard LaTeX template</t>
        </is>
      </c>
      <c r="C19" s="15" t="n">
        <v>3</v>
      </c>
      <c r="D19" s="13" t="inlineStr">
        <is>
          <t>5-Page PhD Proposal Draft</t>
        </is>
      </c>
      <c r="E19" s="13" t="inlineStr">
        <is>
          <t>Proposal contains compelling motivation, precise problem statement, novel methodology, and realistic timeline.</t>
        </is>
      </c>
      <c r="F19" s="15" t="inlineStr">
        <is>
          <t>Not Started</t>
        </is>
      </c>
      <c r="G19" s="13" t="inlineStr">
        <is>
          <t>Scheduled for Month 6</t>
        </is>
      </c>
    </row>
    <row r="20">
      <c r="A20" s="17" t="inlineStr">
        <is>
          <t>Academic Presentation</t>
        </is>
      </c>
      <c r="B20" s="17" t="inlineStr">
        <is>
          <t>Defend proposed research methodology and articulate academic contributions clearly</t>
        </is>
      </c>
      <c r="C20" s="19" t="n">
        <v>3</v>
      </c>
      <c r="D20" s="17" t="inlineStr">
        <is>
          <t>Recorded Mock Proposal Presentation</t>
        </is>
      </c>
      <c r="E20" s="17" t="inlineStr">
        <is>
          <t>Can confidently answer probing questions regarding scalability, feasibility, and baseline comparison.</t>
        </is>
      </c>
      <c r="F20" s="19" t="inlineStr">
        <is>
          <t>Not Started</t>
        </is>
      </c>
      <c r="G20" s="17" t="inlineStr">
        <is>
          <t>Scheduled for Month 6</t>
        </is>
      </c>
    </row>
    <row r="21">
      <c r="A21" s="26" t="inlineStr">
        <is>
          <t>OVERALL PhD READINESS COMPOSITE INDEX (Average Score)</t>
        </is>
      </c>
      <c r="B21" s="68" t="n"/>
      <c r="C21" s="54">
        <f>AVERAGE(C5:C20)</f>
        <v/>
      </c>
      <c r="D21" s="26">
        <f>IF(C21&gt;=3.5, "EXCEPTIONAL — Fully Research Ready for Top-Tier PhD", IF(C21&gt;=2.8, "STRONG — Highly Competitive PhD Applicant with Strong Foundations", "DEVELOPING — Continue Progressing Through Curriculum"))</f>
        <v/>
      </c>
      <c r="E21" s="67" t="n"/>
      <c r="F21" s="67" t="n"/>
      <c r="G21" s="68" t="n"/>
    </row>
  </sheetData>
  <mergeCells count="4">
    <mergeCell ref="D21:G21"/>
    <mergeCell ref="A3:G3"/>
    <mergeCell ref="A21:B21"/>
    <mergeCell ref="A1:G2"/>
  </mergeCells>
  <conditionalFormatting sqref="F5:F25">
    <cfRule type="cellIs" priority="1" operator="equal" dxfId="0" stopIfTrue="1">
      <formula>"Completed"</formula>
    </cfRule>
    <cfRule type="cellIs" priority="2" operator="equal" dxfId="1" stopIfTrue="1">
      <formula>"In Progress"</formula>
    </cfRule>
    <cfRule type="cellIs" priority="3" operator="equal" dxfId="2" stopIfTrue="1">
      <formula>"Not Started"</formula>
    </cfRule>
    <cfRule type="cellIs" priority="4" operator="equal" dxfId="0" stopIfTrue="1">
      <formula>"Achieved"</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5"/>
  <sheetViews>
    <sheetView showGridLines="1"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4" customWidth="1" min="2" max="2"/>
    <col width="26" customWidth="1" min="3" max="3"/>
    <col width="28" customWidth="1" min="4" max="4"/>
    <col width="28" customWidth="1" min="5" max="5"/>
    <col width="30" customWidth="1" min="6" max="6"/>
    <col width="14" customWidth="1" min="7" max="7"/>
    <col width="16" customWidth="1" min="8" max="8"/>
    <col width="22" customWidth="1" min="9" max="9"/>
    <col width="45" customWidth="1" min="10" max="10"/>
    <col width="35" customWidth="1" min="11" max="11"/>
    <col width="35" customWidth="1" min="12" max="12"/>
    <col width="38" customWidth="1" min="13" max="13"/>
    <col width="28" customWidth="1" min="14" max="14"/>
    <col width="18" customWidth="1" min="15" max="15"/>
    <col width="32" customWidth="1" min="16" max="16"/>
    <col width="25" customWidth="1" min="17" max="17"/>
  </cols>
  <sheetData>
    <row r="1">
      <c r="A1" s="55" t="inlineStr">
        <is>
          <t>HONG KONG PhD SUPERVISOR INTELLIGENCE (8 TARGET UNIVERSITIES)</t>
        </is>
      </c>
    </row>
    <row r="2"/>
    <row r="3" ht="28" customHeight="1">
      <c r="A3" s="11" t="inlineStr">
        <is>
          <t>University</t>
        </is>
      </c>
      <c r="B3" s="11" t="inlineStr">
        <is>
          <t>Professor</t>
        </is>
      </c>
      <c r="C3" s="11" t="inlineStr">
        <is>
          <t>Department</t>
        </is>
      </c>
      <c r="D3" s="11" t="inlineStr">
        <is>
          <t>Position</t>
        </is>
      </c>
      <c r="E3" s="11" t="inlineStr">
        <is>
          <t>Research Group</t>
        </is>
      </c>
      <c r="F3" s="11" t="inlineStr">
        <is>
          <t>Primary Research Focus</t>
        </is>
      </c>
      <c r="G3" s="11" t="inlineStr">
        <is>
          <t>Priority Tier</t>
        </is>
      </c>
      <c r="H3" s="11" t="inlineStr">
        <is>
          <t>Alignment Score (%)</t>
        </is>
      </c>
      <c r="I3" s="11" t="inlineStr">
        <is>
          <t>Recruitment Status</t>
        </is>
      </c>
      <c r="J3" s="11" t="inlineStr">
        <is>
          <t>Recruitment Evidence</t>
        </is>
      </c>
      <c r="K3" s="11" t="inlineStr">
        <is>
          <t>Seminal / Key Publication</t>
        </is>
      </c>
      <c r="L3" s="11" t="inlineStr">
        <is>
          <t>Recent Breakthrough Paper</t>
        </is>
      </c>
      <c r="M3" s="11" t="inlineStr">
        <is>
          <t>Active Projects / Grants</t>
        </is>
      </c>
      <c r="N3" s="11" t="inlineStr">
        <is>
          <t>Simulators &amp; Testbeds</t>
        </is>
      </c>
      <c r="O3" s="11" t="inlineStr">
        <is>
          <t>Mapped Curriculum Weeks</t>
        </is>
      </c>
      <c r="P3" s="11" t="inlineStr">
        <is>
          <t>Official Profile URL</t>
        </is>
      </c>
      <c r="Q3" s="11" t="inlineStr">
        <is>
          <t>Application Action / Status</t>
        </is>
      </c>
    </row>
    <row r="4">
      <c r="A4" s="17" t="inlineStr">
        <is>
          <t>The Hong Kong Polytechnic University</t>
        </is>
      </c>
      <c r="B4" s="23" t="inlineStr">
        <is>
          <t>Prof. Jiannong Cao</t>
        </is>
      </c>
      <c r="C4" s="17" t="inlineStr">
        <is>
          <t>Department of Computing (COMP)</t>
        </is>
      </c>
      <c r="D4" s="17" t="inlineStr">
        <is>
          <t>Dean of Graduate School, Otto Poon Charitable Foundation Professor in Data Science, Chair Professor of Distributed and Mobile Computing</t>
        </is>
      </c>
      <c r="E4" s="17" t="inlineStr">
        <is>
          <t>Internet and Mobile Computing Laboratory (IMCL)</t>
        </is>
      </c>
      <c r="F4" s="17" t="inlineStr">
        <is>
          <t>Edge Computing, Edge AI, Distributed Systems</t>
        </is>
      </c>
      <c r="G4" s="19" t="inlineStr">
        <is>
          <t>Tier 1</t>
        </is>
      </c>
      <c r="H4" s="56" t="n">
        <v>96</v>
      </c>
      <c r="I4" s="19" t="inlineStr">
        <is>
          <t>CONFIRMED_ACTIVE</t>
        </is>
      </c>
      <c r="J4" s="17" t="inlineStr">
        <is>
          <t>We are seeking highly motivated PhD students and Postdocs with strong backgrounds in Computer Science, Computer Engineering, or Mathematics to join IMCL for Fall 2027. Full scholarships (HKPFS and PolyU Presidential Fellowship) available. (2026-06-15)</t>
        </is>
      </c>
      <c r="K4" s="17" t="inlineStr">
        <is>
          <t>Edge Mesh: A New Paradigm to Enable Distributed Intelligence in Internet of Things</t>
        </is>
      </c>
      <c r="L4" s="17" t="inlineStr">
        <is>
          <t>EdgeShard: Efficient LLM Inference via Collaborative Edge Computing</t>
        </is>
      </c>
      <c r="M4" s="17" t="inlineStr">
        <is>
          <t>RGC CRF: Collaborative Edge Computing Architecture for Smart Cities; Edge Intelligence Framework for Real-time Video Stream Analytics</t>
        </is>
      </c>
      <c r="N4" s="17" t="inlineStr">
        <is>
          <t>EdgeCloudSim, ns-3, Mininet, OMNeT++, 50-node Raspberry Pi 4 Edge Cluster</t>
        </is>
      </c>
      <c r="O4" s="16" t="inlineStr">
        <is>
          <t>Weeks 1, 5, 6, 7</t>
        </is>
      </c>
      <c r="P4" s="31" t="inlineStr">
        <is>
          <t>https://www.polyu.edu.hk/comp/people/academic-staff/prof-cao-jiannong/</t>
        </is>
      </c>
      <c r="Q4" s="16" t="inlineStr">
        <is>
          <t>Identified — Ready for Outreach</t>
        </is>
      </c>
    </row>
    <row r="5">
      <c r="A5" s="13" t="inlineStr">
        <is>
          <t>The Hong Kong University of Science and Technology</t>
        </is>
      </c>
      <c r="B5" s="20" t="inlineStr">
        <is>
          <t>Prof. Wei Wang</t>
        </is>
      </c>
      <c r="C5" s="13" t="inlineStr">
        <is>
          <t>Department of Computer Science and Engineering (CSE)</t>
        </is>
      </c>
      <c r="D5" s="13" t="inlineStr">
        <is>
          <t>Associate Professor</t>
        </is>
      </c>
      <c r="E5" s="13" t="inlineStr">
        <is>
          <t>System Networking Lab (SING)</t>
        </is>
      </c>
      <c r="F5" s="13" t="inlineStr">
        <is>
          <t>Distributed Machine Learning, Edge Intelligence, Cloud-Edge Systems</t>
        </is>
      </c>
      <c r="G5" s="15" t="inlineStr">
        <is>
          <t>Tier 1</t>
        </is>
      </c>
      <c r="H5" s="57" t="n">
        <v>96</v>
      </c>
      <c r="I5" s="15" t="inlineStr">
        <is>
          <t>CONFIRMED_ACTIVE</t>
        </is>
      </c>
      <c r="J5" s="13" t="inlineStr">
        <is>
          <t>Multiple PhD openings available each year. If you are interested in building real computer systems for distributed AI and edge computing, email me with your CV, transcripts, and a brief research statement. HKPFS candidates are strongly encouraged. (2026-06-30)</t>
        </is>
      </c>
      <c r="K5" s="13" t="inlineStr">
        <is>
          <t>Enabling Cost-Effective, SLO-Aware Machine Learning Inference Serving on Public Cloud</t>
        </is>
      </c>
      <c r="L5" s="13" t="inlineStr">
        <is>
          <t>Enabling Cost-Effective, SLO-Aware Machine Learning Inference Serving on Public Cloud</t>
        </is>
      </c>
      <c r="M5" s="13" t="inlineStr">
        <is>
          <t>Efficient Distributed Training on Heterogeneous Cloud-Edge GPU Clusters; Communication-Efficient Federated Learning Frameworks for IoT</t>
        </is>
      </c>
      <c r="N5" s="13" t="inlineStr">
        <is>
          <t>PyTorch Distributed, Flower.ai, Horovod, 128-GPU High Performance Cluster</t>
        </is>
      </c>
      <c r="O5" s="12" t="inlineStr">
        <is>
          <t>Weeks 5, 9, 10, 11</t>
        </is>
      </c>
      <c r="P5" s="34" t="inlineStr">
        <is>
          <t>https://cse.hkust.edu.hk/admin/people/faculty/profile/weiwa</t>
        </is>
      </c>
      <c r="Q5" s="12" t="inlineStr">
        <is>
          <t>Identified — Ready for Outreach</t>
        </is>
      </c>
    </row>
    <row r="6">
      <c r="A6" s="17" t="inlineStr">
        <is>
          <t>The University of Hong Kong</t>
        </is>
      </c>
      <c r="B6" s="23" t="inlineStr">
        <is>
          <t>Prof. Chuan Wu</t>
        </is>
      </c>
      <c r="C6" s="17" t="inlineStr">
        <is>
          <t>Department of Computer Science (CS)</t>
        </is>
      </c>
      <c r="D6" s="17" t="inlineStr">
        <is>
          <t>Professor</t>
        </is>
      </c>
      <c r="E6" s="17" t="inlineStr">
        <is>
          <t>Systems Research Group</t>
        </is>
      </c>
      <c r="F6" s="17" t="inlineStr">
        <is>
          <t>Cloud and Edge Computing, Distributed Machine Learning Systems, Resource Scheduling</t>
        </is>
      </c>
      <c r="G6" s="19" t="inlineStr">
        <is>
          <t>Tier 1</t>
        </is>
      </c>
      <c r="H6" s="56" t="n">
        <v>96</v>
      </c>
      <c r="I6" s="19" t="inlineStr">
        <is>
          <t>CONFIRMED_ACTIVE</t>
        </is>
      </c>
      <c r="J6" s="17" t="inlineStr">
        <is>
          <t>I am looking for self-motivated PhD students with strong programming and mathematical skills to work on distributed systems, edge computing, and AI systems. High-achieving students will be nominated for HKU Presidential PhD Scholarship and HKPFS. (2026-07-15)</t>
        </is>
      </c>
      <c r="K6" s="17" t="inlineStr">
        <is>
          <t>DL2: A Deep Learning-Driven Scheduler for Deep Learning Clusters</t>
        </is>
      </c>
      <c r="L6" s="17" t="inlineStr">
        <is>
          <t>Task Placement and Resource Allocation for Edge Machine Learning: A GNN-Based Multi-Agent Reinforcement Learning Paradigm</t>
        </is>
      </c>
      <c r="M6" s="17" t="inlineStr">
        <is>
          <t>RGC GRF: Efficient Inference Serving of Foundation Models over Edge Networks; Pipelined Collaborative Learning across Heterogeneous Mobile Edge Devices</t>
        </is>
      </c>
      <c r="N6" s="17" t="inlineStr">
        <is>
          <t>PyTorch Distributed, Ray, Deepspeed, HKU GPU Cluster (Nvidia A100/H100)</t>
        </is>
      </c>
      <c r="O6" s="16" t="inlineStr">
        <is>
          <t>Weeks 5, 6, 7, 11</t>
        </is>
      </c>
      <c r="P6" s="31" t="inlineStr">
        <is>
          <t>https://www.cs.hku.hk/people/academic-staff/cwu</t>
        </is>
      </c>
      <c r="Q6" s="16" t="inlineStr">
        <is>
          <t>Identified — Ready for Outreach</t>
        </is>
      </c>
    </row>
    <row r="7">
      <c r="A7" s="13" t="inlineStr">
        <is>
          <t>The Hong Kong Polytechnic University</t>
        </is>
      </c>
      <c r="B7" s="20" t="inlineStr">
        <is>
          <t>Prof. Song Guo</t>
        </is>
      </c>
      <c r="C7" s="13" t="inlineStr">
        <is>
          <t>Department of Computing (COMP)</t>
        </is>
      </c>
      <c r="D7" s="13" t="inlineStr">
        <is>
          <t>Chair Professor of Distributed and Mobile Computing, IEEE Fellow, Member of European Academy of Sciences</t>
        </is>
      </c>
      <c r="E7" s="13" t="inlineStr">
        <is>
          <t>Pervasive AI &amp; Cloud-Edge Systems Group</t>
        </is>
      </c>
      <c r="F7" s="13" t="inlineStr">
        <is>
          <t>Edge Intelligence, Mobile Edge Computing, Federated Learning</t>
        </is>
      </c>
      <c r="G7" s="15" t="inlineStr">
        <is>
          <t>Tier 1</t>
        </is>
      </c>
      <c r="H7" s="57" t="n">
        <v>95</v>
      </c>
      <c r="I7" s="15" t="inlineStr">
        <is>
          <t>CONFIRMED_ACTIVE</t>
        </is>
      </c>
      <c r="J7" s="13" t="inlineStr">
        <is>
          <t>Looking for self-driven PhD students with strong coding (Python/C++) and mathematical background to work on Edge AI, Federated Learning, and Distributed Computing for 2027 entry. HKPFS applicants warmly welcomed. (2026-07-10)</t>
        </is>
      </c>
      <c r="K7" s="13" t="inlineStr">
        <is>
          <t>A Learning-Based Incentive Mechanism for Federated Learning</t>
        </is>
      </c>
      <c r="L7" s="13" t="inlineStr">
        <is>
          <t>Wireless Powered Mobile Edge Computing Networks: A Survey</t>
        </is>
      </c>
      <c r="M7" s="13" t="inlineStr">
        <is>
          <t>RGC Theme-based Research Scheme: Trustworthy Edge Intelligence; Communication-Efficient Federated Learning across Non-IID Mobile Clients</t>
        </is>
      </c>
      <c r="N7" s="13" t="inlineStr">
        <is>
          <t>Flower.ai, FedML, EdgeCloudSim, SimPy, 32-node GPU/Edge NPU Testbed (Jetson AGX/Xavier)</t>
        </is>
      </c>
      <c r="O7" s="12" t="inlineStr">
        <is>
          <t>Weeks 8, 12, 16, 17</t>
        </is>
      </c>
      <c r="P7" s="34" t="inlineStr">
        <is>
          <t>https://www.polyu.edu.hk/comp/people/academic-staff/prof-guo-song/</t>
        </is>
      </c>
      <c r="Q7" s="12" t="inlineStr">
        <is>
          <t>Identified — Ready for Outreach</t>
        </is>
      </c>
    </row>
    <row r="8">
      <c r="A8" s="17" t="inlineStr">
        <is>
          <t>The Hong Kong University of Science and Technology</t>
        </is>
      </c>
      <c r="B8" s="23" t="inlineStr">
        <is>
          <t>Prof. Lin Wang</t>
        </is>
      </c>
      <c r="C8" s="17" t="inlineStr">
        <is>
          <t>Department of Computer Science and Engineering (CSE)</t>
        </is>
      </c>
      <c r="D8" s="17" t="inlineStr">
        <is>
          <t>Associate Professor</t>
        </is>
      </c>
      <c r="E8" s="17" t="inlineStr">
        <is>
          <t>Edge Computing Systems Laboratory</t>
        </is>
      </c>
      <c r="F8" s="17" t="inlineStr">
        <is>
          <t>Edge Computing Systems, Serverless Edge Computing, Cloud-Edge Resource Allocation</t>
        </is>
      </c>
      <c r="G8" s="19" t="inlineStr">
        <is>
          <t>Tier 1</t>
        </is>
      </c>
      <c r="H8" s="56" t="n">
        <v>95</v>
      </c>
      <c r="I8" s="19" t="inlineStr">
        <is>
          <t>CONFIRMED_ACTIVE</t>
        </is>
      </c>
      <c r="J8" s="17" t="inlineStr">
        <is>
          <t>I am seeking PhD students interested in Edge Computing, Serverless Systems, and Cloud-Native Technologies for 2027 entry. Successful candidates will be supported by HKPFS or HKUST Postgraduate Studentships. (2026-07-01)</t>
        </is>
      </c>
      <c r="K8" s="17" t="inlineStr">
        <is>
          <t>N/A</t>
        </is>
      </c>
      <c r="L8" s="17" t="inlineStr">
        <is>
          <t>N/A</t>
        </is>
      </c>
      <c r="M8" s="17" t="inlineStr">
        <is>
          <t>WebAssembly Runtimes for Latency-Critical Edge Serverless; Predictive Pre-warming of Edge Containers using Temporal Machine Learning</t>
        </is>
      </c>
      <c r="N8" s="17" t="inlineStr">
        <is>
          <t>SimPy, CloudSim Plus, K3s / OpenFaaS Edge Testbed</t>
        </is>
      </c>
      <c r="O8" s="16" t="inlineStr">
        <is>
          <t>Weeks 9, 10, 11, 12</t>
        </is>
      </c>
      <c r="P8" s="31" t="inlineStr">
        <is>
          <t>https://cse.hkust.edu.hk/admin/people/faculty/profile/linwang</t>
        </is>
      </c>
      <c r="Q8" s="16" t="inlineStr">
        <is>
          <t>Identified — Ready for Outreach</t>
        </is>
      </c>
    </row>
    <row r="9">
      <c r="A9" s="13" t="inlineStr">
        <is>
          <t>City University of Hong Kong</t>
        </is>
      </c>
      <c r="B9" s="20" t="inlineStr">
        <is>
          <t>Prof. Jianping Wang</t>
        </is>
      </c>
      <c r="C9" s="13" t="inlineStr">
        <is>
          <t>Department of Computer Science (CS)</t>
        </is>
      </c>
      <c r="D9" s="13" t="inlineStr">
        <is>
          <t>Professor, IEEE Fellow</t>
        </is>
      </c>
      <c r="E9" s="13" t="inlineStr">
        <is>
          <t>Future Networking Laboratory</t>
        </is>
      </c>
      <c r="F9" s="13" t="inlineStr">
        <is>
          <t>Edge Computing in Connected Vehicles, Autonomous Driving Systems, Cloud Computing</t>
        </is>
      </c>
      <c r="G9" s="15" t="inlineStr">
        <is>
          <t>Tier 1</t>
        </is>
      </c>
      <c r="H9" s="57" t="n">
        <v>95</v>
      </c>
      <c r="I9" s="15" t="inlineStr">
        <is>
          <t>CONFIRMED_ACTIVE</t>
        </is>
      </c>
      <c r="J9" s="13" t="inlineStr">
        <is>
          <t>Recruiting PhD students for 2027 entry in Connected Autonomous Vehicles, Edge Computing, and Cloud Networks. CityU Presidential PhD Scholarship (HK$331,200/yr) and HKPFS available for top applicants. (2026-07-05)</t>
        </is>
      </c>
      <c r="K9" s="13" t="inlineStr">
        <is>
          <t>AoI-Aware User Service Satisfaction Enhancement in Digital Twin-Empowered Edge Computing</t>
        </is>
      </c>
      <c r="L9" s="13" t="inlineStr">
        <is>
          <t>AoI-Aware User Service Satisfaction Enhancement in Digital Twin-Empowered Edge Computing</t>
        </is>
      </c>
      <c r="M9" s="13" t="inlineStr">
        <is>
          <t>RGC Theme-based Research Scheme: Autonomous Driving in Dense Urban Environments; Proactive Task Migration for High-Speed Connected Vehicles</t>
        </is>
      </c>
      <c r="N9" s="13" t="inlineStr">
        <is>
          <t>SUMO, Simu5G, OMNeT++, CARLA, Autonomous Driving Scale-Model Testbed</t>
        </is>
      </c>
      <c r="O9" s="12" t="inlineStr">
        <is>
          <t>Weeks 13, 14, 15, 16</t>
        </is>
      </c>
      <c r="P9" s="34" t="inlineStr">
        <is>
          <t>https://www.cs.cityu.edu.hk/people/academic-staff/jianwang</t>
        </is>
      </c>
      <c r="Q9" s="12" t="inlineStr">
        <is>
          <t>Identified — Ready for Outreach</t>
        </is>
      </c>
    </row>
    <row r="10">
      <c r="A10" s="17" t="inlineStr">
        <is>
          <t>The Chinese University of Hong Kong</t>
        </is>
      </c>
      <c r="B10" s="23" t="inlineStr">
        <is>
          <t>Prof. Minghua Chen</t>
        </is>
      </c>
      <c r="C10" s="17" t="inlineStr">
        <is>
          <t>Department of Information Engineering (IE)</t>
        </is>
      </c>
      <c r="D10" s="17" t="inlineStr">
        <is>
          <t>Professor, IEEE Fellow, ACM Distinguished Member</t>
        </is>
      </c>
      <c r="E10" s="17" t="inlineStr">
        <is>
          <t>Advanced Networking and System Research Laboratory (ANSRLab)</t>
        </is>
      </c>
      <c r="F10" s="17" t="inlineStr">
        <is>
          <t>Online Optimization, Edge Computing Resource Allocation, Green &amp; Sustainable Edge</t>
        </is>
      </c>
      <c r="G10" s="19" t="inlineStr">
        <is>
          <t>Tier 1</t>
        </is>
      </c>
      <c r="H10" s="56" t="n">
        <v>93</v>
      </c>
      <c r="I10" s="19" t="inlineStr">
        <is>
          <t>STRONG_EVIDENCE</t>
        </is>
      </c>
      <c r="J10" s="17" t="inlineStr">
        <is>
          <t>I am constantly looking for excellent PhD students with strong passion and solid mathematical/systems background. Please submit your application through CUHK Graduate School and mention my name. (2026-05-20)</t>
        </is>
      </c>
      <c r="K10" s="17" t="inlineStr">
        <is>
          <t>Markov Approximation for Combinatorial Network Optimization</t>
        </is>
      </c>
      <c r="L10" s="17" t="inlineStr">
        <is>
          <t>Unsupervised Learning for Solving AC Optimal Power Flows: Design, Analysis, and Experiment</t>
        </is>
      </c>
      <c r="M10" s="17" t="inlineStr">
        <is>
          <t>RGC GRF: Online Algorithms for Carbon-Aware Edge Intelligence; Joint Energy Harvesting and Computation Scheduling for Remote IoT Networks</t>
        </is>
      </c>
      <c r="N10" s="17" t="inlineStr">
        <is>
          <t>CVXPY, MATLAB, SimPy, Custom Python Optimization Simulator Suite</t>
        </is>
      </c>
      <c r="O10" s="16" t="inlineStr">
        <is>
          <t>Weeks 13, 14, 15, 16</t>
        </is>
      </c>
      <c r="P10" s="31" t="inlineStr">
        <is>
          <t>https://www.ie.cuhk.edu.hk/people/minghua.shtml</t>
        </is>
      </c>
      <c r="Q10" s="16" t="inlineStr">
        <is>
          <t>Identified — Ready for Outreach</t>
        </is>
      </c>
    </row>
    <row r="11">
      <c r="A11" s="13" t="inlineStr">
        <is>
          <t>The University of Hong Kong</t>
        </is>
      </c>
      <c r="B11" s="20" t="inlineStr">
        <is>
          <t>Prof. Heming Cui</t>
        </is>
      </c>
      <c r="C11" s="13" t="inlineStr">
        <is>
          <t>Department of Computer Science (CS)</t>
        </is>
      </c>
      <c r="D11" s="13" t="inlineStr">
        <is>
          <t>Associate Professor</t>
        </is>
      </c>
      <c r="E11" s="13" t="inlineStr">
        <is>
          <t>Systems Research Group</t>
        </is>
      </c>
      <c r="F11" s="13" t="inlineStr">
        <is>
          <t>Distributed Systems, Concurrency, Fault Tolerance</t>
        </is>
      </c>
      <c r="G11" s="15" t="inlineStr">
        <is>
          <t>Tier 1</t>
        </is>
      </c>
      <c r="H11" s="57" t="n">
        <v>93</v>
      </c>
      <c r="I11" s="15" t="inlineStr">
        <is>
          <t>STRONG_EVIDENCE</t>
        </is>
      </c>
      <c r="J11" s="13" t="inlineStr">
        <is>
          <t>I am seeking PhD students passionate about building reliable, high-performance distributed systems. Students with strong C/C++/Go programming skills and interest in SOSP/OSDI publications are encouraged to apply. (2026-05-30)</t>
        </is>
      </c>
      <c r="K11" s="13" t="inlineStr">
        <is>
          <t>vPipe: A Virtualized Acceleration System for Achieving Efficient and Scalable Pipeline Parallel DNN Training</t>
        </is>
      </c>
      <c r="L11" s="13" t="inlineStr">
        <is>
          <t>vPipe: A Virtualized Acceleration System for Achieving Efficient and Scalable Pipeline Parallel DNN Training</t>
        </is>
      </c>
      <c r="M11" s="13" t="inlineStr">
        <is>
          <t>Fault-Tolerant Distributed Protocols for Unreliable Edge Networks; Formal Verification of Distributed Concurrency in Edge OS</t>
        </is>
      </c>
      <c r="N11" s="13" t="inlineStr">
        <is>
          <t>Jepsen Distributed Testing Framework, Mininet, Distributed Linux Kernel Testbed</t>
        </is>
      </c>
      <c r="O11" s="12" t="inlineStr">
        <is>
          <t>Weeks 5, 6, 7, 8</t>
        </is>
      </c>
      <c r="P11" s="34" t="inlineStr">
        <is>
          <t>https://www.cs.hku.hk/people/academic-staff/heming</t>
        </is>
      </c>
      <c r="Q11" s="12" t="inlineStr">
        <is>
          <t>Identified — Ready for Outreach</t>
        </is>
      </c>
    </row>
    <row r="12">
      <c r="A12" s="17" t="inlineStr">
        <is>
          <t>The Chinese University of Hong Kong</t>
        </is>
      </c>
      <c r="B12" s="23" t="inlineStr">
        <is>
          <t>Prof. John C.S. Lui</t>
        </is>
      </c>
      <c r="C12" s="17" t="inlineStr">
        <is>
          <t>Department of Computer Science and Engineering (CSE)</t>
        </is>
      </c>
      <c r="D12" s="17" t="inlineStr">
        <is>
          <t>Choh-Ming Li Professor of Computer Science and Engineering, ACM Fellow, IEEE Fellow</t>
        </is>
      </c>
      <c r="E12" s="17" t="inlineStr">
        <is>
          <t>Advanced Networking and System Research Laboratory</t>
        </is>
      </c>
      <c r="F12" s="17" t="inlineStr">
        <is>
          <t>Network Systems, Edge Caching, Reinforcement Learning in Networking</t>
        </is>
      </c>
      <c r="G12" s="19" t="inlineStr">
        <is>
          <t>Tier 1</t>
        </is>
      </c>
      <c r="H12" s="56" t="n">
        <v>92</v>
      </c>
      <c r="I12" s="19" t="inlineStr">
        <is>
          <t>STRONG_EVIDENCE</t>
        </is>
      </c>
      <c r="J12" s="17" t="inlineStr">
        <is>
          <t>Seeking talented, self-motivated graduate students wishing to pursue PhD degrees in networked systems, edge intelligence, and reinforcement learning. Prospective HKPFS applicants should contact me directly. (2026-06-01)</t>
        </is>
      </c>
      <c r="K12" s="17" t="inlineStr">
        <is>
          <t>Task Co-Offloading for D2D-Assisted Mobile Edge Computing in Industrial Internet of Things</t>
        </is>
      </c>
      <c r="L12" s="17" t="inlineStr">
        <is>
          <t>Task Co-Offloading for D2D-Assisted Mobile Edge Computing in Industrial Internet of Things</t>
        </is>
      </c>
      <c r="M12" s="17" t="inlineStr">
        <is>
          <t>Multi-Agent Reinforcement Learning for Dynamic Edge Spectrum Sharing; Security and Robustness of Cooperative Edge Caching Systems</t>
        </is>
      </c>
      <c r="N12" s="17" t="inlineStr">
        <is>
          <t>ns-3, Simu5G, PyTorch, Campus Wide-Area Testbed</t>
        </is>
      </c>
      <c r="O12" s="16" t="inlineStr">
        <is>
          <t>Weeks 2, 3, 13, 14</t>
        </is>
      </c>
      <c r="P12" s="31" t="inlineStr">
        <is>
          <t>https://www.cse.cuhk.edu.hk/people/faculty/john-c-s-lui/</t>
        </is>
      </c>
      <c r="Q12" s="16" t="inlineStr">
        <is>
          <t>Identified — Ready for Outreach</t>
        </is>
      </c>
    </row>
    <row r="13">
      <c r="A13" s="13" t="inlineStr">
        <is>
          <t>Hong Kong Baptist University</t>
        </is>
      </c>
      <c r="B13" s="20" t="inlineStr">
        <is>
          <t>Prof. Xiaowen Chu</t>
        </is>
      </c>
      <c r="C13" s="13" t="inlineStr">
        <is>
          <t>Department of Computer Science (COMP)</t>
        </is>
      </c>
      <c r="D13" s="13" t="inlineStr">
        <is>
          <t>Professor</t>
        </is>
      </c>
      <c r="E13" s="13" t="inlineStr">
        <is>
          <t>High Performance Computing and Systems Laboratory</t>
        </is>
      </c>
      <c r="F13" s="13" t="inlineStr">
        <is>
          <t>GPU Computing, Deep Learning Systems, Edge AI Inference</t>
        </is>
      </c>
      <c r="G13" s="15" t="inlineStr">
        <is>
          <t>Tier 1</t>
        </is>
      </c>
      <c r="H13" s="57" t="n">
        <v>92</v>
      </c>
      <c r="I13" s="15" t="inlineStr">
        <is>
          <t>CONFIRMED_ACTIVE</t>
        </is>
      </c>
      <c r="J13" s="13" t="inlineStr">
        <is>
          <t>Looking for highly motivated PhD students with strong coding skills in C/C++/Python and knowledge of computer architecture to work on GPU computing and Edge AI. Supported by HKBU VC Fellowship and HKPFS. (2026-06-25)</t>
        </is>
      </c>
      <c r="K13" s="13" t="inlineStr">
        <is>
          <t>Resource-Efficient Collaborative Edge Transformer Inference With Hybrid Model Parallelism</t>
        </is>
      </c>
      <c r="L13" s="13" t="inlineStr">
        <is>
          <t>Resource-Efficient Collaborative Edge Transformer Inference With Hybrid Model Parallelism</t>
        </is>
      </c>
      <c r="M13" s="13" t="inlineStr">
        <is>
          <t>Benchmarking and Acceleration of Large Language Models on Mobile Edge GPUs; Energy-Efficient Neural Network Deployment on Embedded NPUs</t>
        </is>
      </c>
      <c r="N13" s="13" t="inlineStr">
        <is>
          <t>Nsight Compute, TensorRT, TVM, PyTorch, GPU Cluster with 64x Nvidia RTX/A100</t>
        </is>
      </c>
      <c r="O13" s="12" t="inlineStr">
        <is>
          <t>Weeks 9, 17, 18, 19</t>
        </is>
      </c>
      <c r="P13" s="34" t="inlineStr">
        <is>
          <t>https://www.comp.hkbu.edu.hk/v1/?page=profile&amp;id=chxw</t>
        </is>
      </c>
      <c r="Q13" s="12" t="inlineStr">
        <is>
          <t>Identified — Ready for Outreach</t>
        </is>
      </c>
    </row>
    <row r="14">
      <c r="A14" s="17" t="inlineStr">
        <is>
          <t>Lingnan University</t>
        </is>
      </c>
      <c r="B14" s="23" t="inlineStr">
        <is>
          <t>Prof. Sam Kwong</t>
        </is>
      </c>
      <c r="C14" s="17" t="inlineStr">
        <is>
          <t>School of Data Science</t>
        </is>
      </c>
      <c r="D14" s="17" t="inlineStr">
        <is>
          <t>Associate Vice-President (Strategic Research), Chair Professor of Computational Intelligence, IEEE Fellow</t>
        </is>
      </c>
      <c r="E14" s="17" t="inlineStr">
        <is>
          <t>Computational Intelligence and Data Science Laboratory</t>
        </is>
      </c>
      <c r="F14" s="17" t="inlineStr">
        <is>
          <t>Computational Intelligence, Video Compression for Edge Devices, Evolutionary Computation</t>
        </is>
      </c>
      <c r="G14" s="19" t="inlineStr">
        <is>
          <t>Tier 2</t>
        </is>
      </c>
      <c r="H14" s="56" t="n">
        <v>85</v>
      </c>
      <c r="I14" s="19" t="inlineStr">
        <is>
          <t>STRONG_EVIDENCE</t>
        </is>
      </c>
      <c r="J14" s="17" t="inlineStr">
        <is>
          <t>Seeking outstanding PhD candidates in Data Science, Computational Intelligence, and Edge Video Processing. Full financial support through Lingnan Postgraduate Studentship (HK$18,480/mo) and HKPFS (HK$27,600/mo). (2026-06-10)</t>
        </is>
      </c>
      <c r="K14" s="17" t="inlineStr">
        <is>
          <t>Matrix-Based Evolutionary Computation</t>
        </is>
      </c>
      <c r="L14" s="17" t="inlineStr">
        <is>
          <t>Matrix-Based Evolutionary Computation</t>
        </is>
      </c>
      <c r="M14" s="17" t="inlineStr">
        <is>
          <t>Low-Complexity Intelligent Video Analytics for Smart IoT Sensors; Evolutionary Neural Architecture Search for Edge Devices</t>
        </is>
      </c>
      <c r="N14" s="17" t="inlineStr">
        <is>
          <t>VVC Reference Software (VTM), PyTorch, MATLAB, High-Performance Computing Cluster at Lingnan School of Data Science</t>
        </is>
      </c>
      <c r="O14" s="16" t="inlineStr">
        <is>
          <t>Weeks 4, 16, 17, 18</t>
        </is>
      </c>
      <c r="P14" s="31" t="inlineStr">
        <is>
          <t>https://www.ln.edu.hk/sds/people/faculty/prof-kwong-tak-wu-sam</t>
        </is>
      </c>
      <c r="Q14" s="16" t="inlineStr">
        <is>
          <t>Identified — Ready for Outreach</t>
        </is>
      </c>
    </row>
    <row r="15">
      <c r="A15" s="13" t="inlineStr">
        <is>
          <t>The Education University of Hong Kong</t>
        </is>
      </c>
      <c r="B15" s="20" t="inlineStr">
        <is>
          <t>Prof. Philip L.H. Yu</t>
        </is>
      </c>
      <c r="C15" s="13" t="inlineStr">
        <is>
          <t>Department of Mathematics and Information Technology (MIT)</t>
        </is>
      </c>
      <c r="D15" s="13" t="inlineStr">
        <is>
          <t>Head of Department and Professor</t>
        </is>
      </c>
      <c r="E15" s="13" t="inlineStr">
        <is>
          <t>Artificial Intelligence and Digital Competency Education Centre</t>
        </is>
      </c>
      <c r="F15" s="13" t="inlineStr">
        <is>
          <t>Statistical Machine Learning, Distributed IoT Stream Analytics, Anomaly Detection</t>
        </is>
      </c>
      <c r="G15" s="15" t="inlineStr">
        <is>
          <t>Tier 3</t>
        </is>
      </c>
      <c r="H15" s="57" t="n">
        <v>78</v>
      </c>
      <c r="I15" s="15" t="inlineStr">
        <is>
          <t>POSSIBLE</t>
        </is>
      </c>
      <c r="J15" s="13" t="inlineStr">
        <is>
          <t>Welcomes applications from qualified candidates for PhD study in Mathematics, Information Technology, and Applied Machine Learning. Studentships provided through EdUHK Graduate School. (2026-05-15)</t>
        </is>
      </c>
      <c r="K15" s="13" t="inlineStr">
        <is>
          <t>Exploring the application of ChatGPT in ESL/EFL education and related research issues: a systematic review of empirical studies</t>
        </is>
      </c>
      <c r="L15" s="13" t="inlineStr">
        <is>
          <t>Exploring the application of ChatGPT in ESL/EFL education and related research issues: a systematic review of empirical studies</t>
        </is>
      </c>
      <c r="M15" s="13" t="inlineStr">
        <is>
          <t>Real-Time Anomaly Detection on Distributed Environmental Edge Sensors; Statistical Quality Control in High-Frequency IoT Sensor Networks</t>
        </is>
      </c>
      <c r="N15" s="13" t="inlineStr">
        <is>
          <t>R, Python, SimPy, Campus-wide IoT Sensing Testbed</t>
        </is>
      </c>
      <c r="O15" s="12" t="inlineStr">
        <is>
          <t>Weeks 4, 15, 21</t>
        </is>
      </c>
      <c r="P15" s="34" t="inlineStr">
        <is>
          <t>https://www.eduhk.hk/mit/people/academic-staff/yu-leung-ho-philip</t>
        </is>
      </c>
      <c r="Q15" s="12" t="inlineStr">
        <is>
          <t>Identified — Ready for Outreach</t>
        </is>
      </c>
    </row>
  </sheetData>
  <mergeCells count="1">
    <mergeCell ref="A1:Q2"/>
  </mergeCells>
  <hyperlinks>
    <hyperlink xmlns:r="http://schemas.openxmlformats.org/officeDocument/2006/relationships" ref="P4" r:id="rId1"/>
    <hyperlink xmlns:r="http://schemas.openxmlformats.org/officeDocument/2006/relationships" ref="P5" r:id="rId2"/>
    <hyperlink xmlns:r="http://schemas.openxmlformats.org/officeDocument/2006/relationships" ref="P6" r:id="rId3"/>
    <hyperlink xmlns:r="http://schemas.openxmlformats.org/officeDocument/2006/relationships" ref="P7" r:id="rId4"/>
    <hyperlink xmlns:r="http://schemas.openxmlformats.org/officeDocument/2006/relationships" ref="P8" r:id="rId5"/>
    <hyperlink xmlns:r="http://schemas.openxmlformats.org/officeDocument/2006/relationships" ref="P9" r:id="rId6"/>
    <hyperlink xmlns:r="http://schemas.openxmlformats.org/officeDocument/2006/relationships" ref="P10" r:id="rId7"/>
    <hyperlink xmlns:r="http://schemas.openxmlformats.org/officeDocument/2006/relationships" ref="P11" r:id="rId8"/>
    <hyperlink xmlns:r="http://schemas.openxmlformats.org/officeDocument/2006/relationships" ref="P12" r:id="rId9"/>
    <hyperlink xmlns:r="http://schemas.openxmlformats.org/officeDocument/2006/relationships" ref="P13" r:id="rId10"/>
    <hyperlink xmlns:r="http://schemas.openxmlformats.org/officeDocument/2006/relationships" ref="P14" r:id="rId11"/>
    <hyperlink xmlns:r="http://schemas.openxmlformats.org/officeDocument/2006/relationships" ref="P15"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2"/>
  <sheetViews>
    <sheetView showGridLines="1"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4" customWidth="1" min="2" max="2"/>
    <col width="32" customWidth="1" min="3" max="3"/>
    <col width="25" customWidth="1" min="4" max="4"/>
    <col width="16" customWidth="1" min="5" max="5"/>
    <col width="25" customWidth="1" min="6" max="6"/>
    <col width="25" customWidth="1" min="7" max="7"/>
    <col width="30" customWidth="1" min="8" max="8"/>
    <col width="18" customWidth="1" min="9" max="9"/>
    <col width="32" customWidth="1" min="10" max="10"/>
    <col width="35" customWidth="1" min="11" max="11"/>
    <col width="35" customWidth="1" min="12" max="12"/>
    <col width="28" customWidth="1" min="13" max="13"/>
  </cols>
  <sheetData>
    <row r="1">
      <c r="A1" s="55" t="inlineStr">
        <is>
          <t>HONG KONG PhD SCHOLARSHIPS &amp; DOCTORAL FUNDING SCHEMES</t>
        </is>
      </c>
    </row>
    <row r="2"/>
    <row r="3" ht="28" customHeight="1">
      <c r="A3" s="11" t="inlineStr">
        <is>
          <t>University</t>
        </is>
      </c>
      <c r="B3" s="11" t="inlineStr">
        <is>
          <t>Scholarship Scheme Name</t>
        </is>
      </c>
      <c r="C3" s="11" t="inlineStr">
        <is>
          <t>Target PhD Program</t>
        </is>
      </c>
      <c r="D3" s="11" t="inlineStr">
        <is>
          <t>Application Deadline</t>
        </is>
      </c>
      <c r="E3" s="11" t="inlineStr">
        <is>
          <t>Days Remaining</t>
        </is>
      </c>
      <c r="F3" s="11" t="inlineStr">
        <is>
          <t>Annual Funding (HKD)</t>
        </is>
      </c>
      <c r="G3" s="11" t="inlineStr">
        <is>
          <t>Monthly Living Allowance</t>
        </is>
      </c>
      <c r="H3" s="11" t="inlineStr">
        <is>
          <t>Tuition Coverage</t>
        </is>
      </c>
      <c r="I3" s="11" t="inlineStr">
        <is>
          <t>Duration</t>
        </is>
      </c>
      <c r="J3" s="11" t="inlineStr">
        <is>
          <t>Dependent Support</t>
        </is>
      </c>
      <c r="K3" s="11" t="inlineStr">
        <is>
          <t>Supervisor Requirement</t>
        </is>
      </c>
      <c r="L3" s="11" t="inlineStr">
        <is>
          <t>Official Portal URL</t>
        </is>
      </c>
      <c r="M3" s="11" t="inlineStr">
        <is>
          <t>Verification Source</t>
        </is>
      </c>
    </row>
    <row r="4">
      <c r="A4" s="17" t="inlineStr">
        <is>
          <t>All 8 Hong Kong Universities (RGC Scheme)</t>
        </is>
      </c>
      <c r="B4" s="23" t="inlineStr">
        <is>
          <t>Hong Kong PhD Fellowship Scheme (HKPFS)</t>
        </is>
      </c>
      <c r="C4" s="17" t="inlineStr">
        <is>
          <t>All PhD Programs across 8 UGC-funded Institutions</t>
        </is>
      </c>
      <c r="D4" s="16" t="inlineStr">
        <is>
          <t>2026-12-01 12:00:00 HKT (Strict Initial Application to RGC)</t>
        </is>
      </c>
      <c r="E4" s="19" t="inlineStr">
        <is>
          <t>59 days</t>
        </is>
      </c>
      <c r="F4" s="16" t="inlineStr">
        <is>
          <t>HK$331,200 / year (approx. US$42,460)</t>
        </is>
      </c>
      <c r="G4" s="16" t="inlineStr">
        <is>
          <t>Monthly stipend of HK$27,600</t>
        </is>
      </c>
      <c r="H4" s="17" t="inlineStr">
        <is>
          <t>Varies by host university (fully waived or subsidized by university top-ups)</t>
        </is>
      </c>
      <c r="I4" s="16" t="inlineStr">
        <is>
          <t>Up to 3 years (4 years for 4-year PhD programs via university top-up)</t>
        </is>
      </c>
      <c r="J4" s="17" t="inlineStr">
        <is>
          <t>Not provided directly by RGC (dependent visas permitted by HK ImmD, but no explicit stipend allowance)</t>
        </is>
      </c>
      <c r="K4" s="17" t="inlineStr">
        <is>
          <t>Preliminary supervisor contact recommended before university submission; required at institutional stage</t>
        </is>
      </c>
      <c r="L4" s="31" t="inlineStr">
        <is>
          <t>https://cerg1.ugc.edu.hk/hkpfs/index.html</t>
        </is>
      </c>
      <c r="M4" s="17" t="inlineStr">
        <is>
          <t>Research Grants Council (RGC) of Hong Kong</t>
        </is>
      </c>
    </row>
    <row r="5">
      <c r="A5" s="13" t="inlineStr">
        <is>
          <t>The University of Hong Kong</t>
        </is>
      </c>
      <c r="B5" s="20" t="inlineStr">
        <is>
          <t>HKU Presidential PhD Scholarship (HKU-PS)</t>
        </is>
      </c>
      <c r="C5" s="13" t="inlineStr">
        <is>
          <t>PhD in Computer Science / Electrical &amp; Electronic Engineering</t>
        </is>
      </c>
      <c r="D5" s="12" t="inlineStr">
        <is>
          <t>2026-12-01 23:59:59 HKT</t>
        </is>
      </c>
      <c r="E5" s="15" t="inlineStr">
        <is>
          <t>59 days</t>
        </is>
      </c>
      <c r="F5" s="12" t="inlineStr">
        <is>
          <t>Up to HK$441,400 in Year 1 (Cash award + PGS + travel subsidy)</t>
        </is>
      </c>
      <c r="G5" s="12" t="inlineStr">
        <is>
          <t>Cash award of HK$40,000 in Year 1 + monthly PGS of ~HK$18,720 to HK$27,600</t>
        </is>
      </c>
      <c r="H5" s="13" t="inlineStr">
        <is>
          <t>Full tuition fee waiver of HK$42,100 / year</t>
        </is>
      </c>
      <c r="I5" s="12" t="inlineStr">
        <is>
          <t>Up to 4 years for 4-year PhD</t>
        </is>
      </c>
      <c r="J5" s="13" t="inlineStr">
        <is>
          <t>No explicit dependent living stipend allowance (health benefits covered on-campus for student)</t>
        </is>
      </c>
      <c r="K5" s="13" t="inlineStr">
        <is>
          <t>Strongly advised to identify and obtain preliminary agreement from target supervisor</t>
        </is>
      </c>
      <c r="L5" s="34" t="inlineStr">
        <is>
          <t>https://gradsch.hku.hk/prospective-students/fees-scholarships-and-financial-aid/hku-presidential-phd-scholarship</t>
        </is>
      </c>
      <c r="M5" s="13" t="inlineStr">
        <is>
          <t>HKU Graduate School</t>
        </is>
      </c>
    </row>
    <row r="6">
      <c r="A6" s="17" t="inlineStr">
        <is>
          <t>The Hong Kong University of Science and Technology</t>
        </is>
      </c>
      <c r="B6" s="23" t="inlineStr">
        <is>
          <t>HKUST RedBird PhD Award &amp; Postgraduate Studentship (PGS)</t>
        </is>
      </c>
      <c r="C6" s="17" t="inlineStr">
        <is>
          <t>PhD in Computer Science and Engineering / Electronic and Computer Engineering</t>
        </is>
      </c>
      <c r="D6" s="16" t="inlineStr">
        <is>
          <t>2026-12-01 23:59:59 HKT</t>
        </is>
      </c>
      <c r="E6" s="19" t="inlineStr">
        <is>
          <t>59 days</t>
        </is>
      </c>
      <c r="F6" s="16" t="inlineStr">
        <is>
          <t>HK$40,000 recruitment award + full annual PGS of HK$220,680 (approx HK$18,390/mo)</t>
        </is>
      </c>
      <c r="G6" s="16" t="inlineStr">
        <is>
          <t>Monthly PGS stipend of HK$18,390 (HK$27,600 if HKPFS awardee)</t>
        </is>
      </c>
      <c r="H6" s="17" t="inlineStr">
        <is>
          <t>Tuition scholarship available for HKPFS recipients (HK$42,100/yr)</t>
        </is>
      </c>
      <c r="I6" s="16" t="inlineStr">
        <is>
          <t>4 years (standard 4-year PhD)</t>
        </is>
      </c>
      <c r="J6" s="17" t="inlineStr">
        <is>
          <t>None officially provided for dependents</t>
        </is>
      </c>
      <c r="K6" s="17" t="inlineStr">
        <is>
          <t>Highly recommended to engage prospective faculty before formal committee review</t>
        </is>
      </c>
      <c r="L6" s="31" t="inlineStr">
        <is>
          <t>https://fytgs.hkust.edu.hk/scholarships/hkust-redbird-phd-award-scheme</t>
        </is>
      </c>
      <c r="M6" s="17" t="inlineStr">
        <is>
          <t>HKUST Fok Ying Tung Graduate School</t>
        </is>
      </c>
    </row>
    <row r="7">
      <c r="A7" s="13" t="inlineStr">
        <is>
          <t>The Chinese University of Hong Kong</t>
        </is>
      </c>
      <c r="B7" s="20" t="inlineStr">
        <is>
          <t>CUHK Vice-Chancellor's PhD Scholarship Scheme</t>
        </is>
      </c>
      <c r="C7" s="13" t="inlineStr">
        <is>
          <t>PhD in Information Engineering / Computer Science and Engineering</t>
        </is>
      </c>
      <c r="D7" s="12" t="inlineStr">
        <is>
          <t>2026-12-01 23:59:59 HKT</t>
        </is>
      </c>
      <c r="E7" s="15" t="inlineStr">
        <is>
          <t>59 days</t>
        </is>
      </c>
      <c r="F7" s="12" t="inlineStr">
        <is>
          <t>HK$40,000 - HK$80,000 award + tuition waiver + full studentship</t>
        </is>
      </c>
      <c r="G7" s="12" t="inlineStr">
        <is>
          <t>Monthly PGS of HK$18,725 or HKPFS rate of HK$27,600</t>
        </is>
      </c>
      <c r="H7" s="13" t="inlineStr">
        <is>
          <t>Full tuition waiver of HK$42,100 / year for HKPFS recipients</t>
        </is>
      </c>
      <c r="I7" s="12" t="inlineStr">
        <is>
          <t>Normative study period (3 to 4 years)</t>
        </is>
      </c>
      <c r="J7" s="13" t="inlineStr">
        <is>
          <t>No separate dependent allowance</t>
        </is>
      </c>
      <c r="K7" s="13" t="inlineStr">
        <is>
          <t>Mandatory to list prospective supervisor; prior contact strongly recommended</t>
        </is>
      </c>
      <c r="L7" s="34" t="inlineStr">
        <is>
          <t>https://www.gs.cuhk.edu.hk/admissions/scholarships-fees/scholarships</t>
        </is>
      </c>
      <c r="M7" s="13" t="inlineStr">
        <is>
          <t>CUHK Graduate School</t>
        </is>
      </c>
    </row>
    <row r="8">
      <c r="A8" s="17" t="inlineStr">
        <is>
          <t>The Hong Kong Polytechnic University</t>
        </is>
      </c>
      <c r="B8" s="23" t="inlineStr">
        <is>
          <t>PolyU Presidential PhD Fellowship Scheme (PPPFS)</t>
        </is>
      </c>
      <c r="C8" s="17" t="inlineStr">
        <is>
          <t>PhD in Computing / Electronic and Information Engineering</t>
        </is>
      </c>
      <c r="D8" s="16" t="inlineStr">
        <is>
          <t>2026-12-01 23:59:59 HKT</t>
        </is>
      </c>
      <c r="E8" s="19" t="inlineStr">
        <is>
          <t>59 days</t>
        </is>
      </c>
      <c r="F8" s="16" t="inlineStr">
        <is>
          <t>Annual cash award of HK$40,000 + full tuition waiver + monthly stipend</t>
        </is>
      </c>
      <c r="G8" s="16" t="inlineStr">
        <is>
          <t>Monthly stipend of HK$27,290 (or HK$27,600 for HKPFS)</t>
        </is>
      </c>
      <c r="H8" s="17" t="inlineStr">
        <is>
          <t>Full tuition waiver (HK$42,100 / year)</t>
        </is>
      </c>
      <c r="I8" s="16" t="inlineStr">
        <is>
          <t>Up to 4 years</t>
        </is>
      </c>
      <c r="J8" s="17" t="inlineStr">
        <is>
          <t>None officially provided</t>
        </is>
      </c>
      <c r="K8" s="17" t="inlineStr">
        <is>
          <t>Target supervisor must support the application for PPPFS nomination</t>
        </is>
      </c>
      <c r="L8" s="31" t="inlineStr">
        <is>
          <t>https://www.polyu.edu.hk/gs/financial-support/scholarships-and-awards/</t>
        </is>
      </c>
      <c r="M8" s="17" t="inlineStr">
        <is>
          <t>PolyU Graduate School</t>
        </is>
      </c>
    </row>
    <row r="9">
      <c r="A9" s="13" t="inlineStr">
        <is>
          <t>City University of Hong Kong</t>
        </is>
      </c>
      <c r="B9" s="20" t="inlineStr">
        <is>
          <t>CityU Presidential PhD Scholarship (CBPS) &amp; PGS</t>
        </is>
      </c>
      <c r="C9" s="13" t="inlineStr">
        <is>
          <t>PhD in Computer Science / Electrical Engineering</t>
        </is>
      </c>
      <c r="D9" s="12" t="inlineStr">
        <is>
          <t>2026-12-01 23:59:59 HKT</t>
        </is>
      </c>
      <c r="E9" s="15" t="inlineStr">
        <is>
          <t>59 days</t>
        </is>
      </c>
      <c r="F9" s="12" t="inlineStr">
        <is>
          <t>Monthly scholarship of HK$27,600 (HK$331,200/yr) + travel allowance</t>
        </is>
      </c>
      <c r="G9" s="12" t="inlineStr">
        <is>
          <t>Monthly allowance of HK$27,600</t>
        </is>
      </c>
      <c r="H9" s="13" t="inlineStr">
        <is>
          <t>Institutional research tuition grant provided</t>
        </is>
      </c>
      <c r="I9" s="12" t="inlineStr">
        <is>
          <t>Up to 4 years</t>
        </is>
      </c>
      <c r="J9" s="13" t="inlineStr">
        <is>
          <t>None officially provided</t>
        </is>
      </c>
      <c r="K9" s="13" t="inlineStr">
        <is>
          <t>Supervisor endorsement required prior to school ranking</t>
        </is>
      </c>
      <c r="L9" s="34" t="inlineStr">
        <is>
          <t>https://www.cityu.edu.hk/pg/research-degree-programmes/scholarships-financial-aid-and-fees</t>
        </is>
      </c>
      <c r="M9" s="13" t="inlineStr">
        <is>
          <t>CityU Chow Yei Ching School of Graduate Studies</t>
        </is>
      </c>
    </row>
    <row r="10">
      <c r="A10" s="17" t="inlineStr">
        <is>
          <t>Hong Kong Baptist University</t>
        </is>
      </c>
      <c r="B10" s="23" t="inlineStr">
        <is>
          <t>HKBU Vice-Chancellor's PhD Fellowship Scheme</t>
        </is>
      </c>
      <c r="C10" s="17" t="inlineStr">
        <is>
          <t>PhD in Computer Science</t>
        </is>
      </c>
      <c r="D10" s="16" t="inlineStr">
        <is>
          <t>2026-12-01 23:59:59 HKT</t>
        </is>
      </c>
      <c r="E10" s="19" t="inlineStr">
        <is>
          <t>59 days</t>
        </is>
      </c>
      <c r="F10" s="16" t="inlineStr">
        <is>
          <t>HK$27,600 / month + tuition scholarship + research travel fund</t>
        </is>
      </c>
      <c r="G10" s="16" t="inlineStr">
        <is>
          <t>Monthly PGS stipend of ~HK$18,500 - HK$27,600</t>
        </is>
      </c>
      <c r="H10" s="17" t="inlineStr">
        <is>
          <t>Full waiver of tuition fee for HKPFS awardees</t>
        </is>
      </c>
      <c r="I10" s="16" t="inlineStr">
        <is>
          <t>Up to 3-4 years</t>
        </is>
      </c>
      <c r="J10" s="17" t="inlineStr">
        <is>
          <t>None officially provided</t>
        </is>
      </c>
      <c r="K10" s="17" t="inlineStr">
        <is>
          <t>Strongly recommended to contact faculty advisor in advance</t>
        </is>
      </c>
      <c r="L10" s="31" t="inlineStr">
        <is>
          <t>https://gs.hkbu.edu.hk/fees-and-scholarships/scholarships</t>
        </is>
      </c>
      <c r="M10" s="17" t="inlineStr">
        <is>
          <t>HKBU Graduate School</t>
        </is>
      </c>
    </row>
    <row r="11">
      <c r="A11" s="13" t="inlineStr">
        <is>
          <t>Lingnan University</t>
        </is>
      </c>
      <c r="B11" s="20" t="inlineStr">
        <is>
          <t>Lingnan Full-Time Postgraduate Studentship (PGS) &amp; HKPFS</t>
        </is>
      </c>
      <c r="C11" s="13" t="inlineStr">
        <is>
          <t>PhD in Data Science / Computer Science</t>
        </is>
      </c>
      <c r="D11" s="12" t="inlineStr">
        <is>
          <t>2026-12-01 23:59:59 HKT</t>
        </is>
      </c>
      <c r="E11" s="15" t="inlineStr">
        <is>
          <t>59 days</t>
        </is>
      </c>
      <c r="F11" s="12" t="inlineStr">
        <is>
          <t>Monthly studentship of HK$18,480 (or HK$27,600 for HKPFS awardees)</t>
        </is>
      </c>
      <c r="G11" s="12" t="inlineStr">
        <is>
          <t>Monthly studentship of HK$18,480</t>
        </is>
      </c>
      <c r="H11" s="13" t="inlineStr">
        <is>
          <t>Tuition scholarship available for top-ranked applicants</t>
        </is>
      </c>
      <c r="I11" s="12" t="inlineStr">
        <is>
          <t>Up to 3-4 years</t>
        </is>
      </c>
      <c r="J11" s="13" t="inlineStr">
        <is>
          <t>None officially provided</t>
        </is>
      </c>
      <c r="K11" s="13" t="inlineStr">
        <is>
          <t>Applicants should identify a potential supervisor from the School of Data Science</t>
        </is>
      </c>
      <c r="L11" s="34" t="inlineStr">
        <is>
          <t>https://www.ln.edu.hk/sgs/financial-support/rpg</t>
        </is>
      </c>
      <c r="M11" s="13" t="inlineStr">
        <is>
          <t>Lingnan School of Graduate Studies</t>
        </is>
      </c>
    </row>
    <row r="12">
      <c r="A12" s="17" t="inlineStr">
        <is>
          <t>The Education University of Hong Kong</t>
        </is>
      </c>
      <c r="B12" s="23" t="inlineStr">
        <is>
          <t>EdUHK Research Postgraduate Studentship (RPgS)</t>
        </is>
      </c>
      <c r="C12" s="17" t="inlineStr">
        <is>
          <t>PhD in Mathematics and Information Technology / Artificial Intelligence</t>
        </is>
      </c>
      <c r="D12" s="16" t="inlineStr">
        <is>
          <t>2026-12-01 23:59:59 HKT</t>
        </is>
      </c>
      <c r="E12" s="19" t="inlineStr">
        <is>
          <t>59 days</t>
        </is>
      </c>
      <c r="F12" s="16" t="inlineStr">
        <is>
          <t>Monthly studentship of HK$18,200 (or HK$27,600 for HKPFS awardees)</t>
        </is>
      </c>
      <c r="G12" s="16" t="inlineStr">
        <is>
          <t>Monthly studentship of HK$18,200</t>
        </is>
      </c>
      <c r="H12" s="17" t="inlineStr">
        <is>
          <t>Tuition waivers available for distinguished students</t>
        </is>
      </c>
      <c r="I12" s="16" t="inlineStr">
        <is>
          <t>3 to 4 years</t>
        </is>
      </c>
      <c r="J12" s="17" t="inlineStr">
        <is>
          <t>None officially provided</t>
        </is>
      </c>
      <c r="K12" s="17" t="inlineStr">
        <is>
          <t>Supervisor alignment required during departmental vetting</t>
        </is>
      </c>
      <c r="L12" s="31" t="inlineStr">
        <is>
          <t>https://www.eduhk.hk/gradsch/index.php/prospective-students/fees-and-scholarships.html</t>
        </is>
      </c>
      <c r="M12" s="17" t="inlineStr">
        <is>
          <t>EdUHK Graduate School</t>
        </is>
      </c>
    </row>
  </sheetData>
  <mergeCells count="1">
    <mergeCell ref="A1:M2"/>
  </mergeCells>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3"/>
  <sheetViews>
    <sheetView showGridLines="1"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8" customWidth="1" min="2" max="2"/>
    <col width="18" customWidth="1" min="3" max="3"/>
    <col width="32" customWidth="1" min="4" max="4"/>
    <col width="35" customWidth="1" min="5" max="5"/>
    <col width="25" customWidth="1" min="6" max="6"/>
    <col width="42" customWidth="1" min="7" max="7"/>
    <col width="28" customWidth="1" min="8" max="8"/>
    <col width="28" customWidth="1" min="9" max="9"/>
    <col width="16" customWidth="1" min="10" max="10"/>
    <col width="30" customWidth="1" min="11" max="11"/>
  </cols>
  <sheetData>
    <row r="1">
      <c r="A1" s="55" t="inlineStr">
        <is>
          <t>10-WEEK HONG KONG PhD APPLICATION CAMPAIGN ROADMAP</t>
        </is>
      </c>
    </row>
    <row r="2"/>
    <row r="3" ht="28" customHeight="1">
      <c r="A3" s="11" t="inlineStr">
        <is>
          <t>Campaign Week</t>
        </is>
      </c>
      <c r="B3" s="11" t="inlineStr">
        <is>
          <t>Phase</t>
        </is>
      </c>
      <c r="C3" s="11" t="inlineStr">
        <is>
          <t>Target Date Window</t>
        </is>
      </c>
      <c r="D3" s="11" t="inlineStr">
        <is>
          <t>Milestone Goal</t>
        </is>
      </c>
      <c r="E3" s="11" t="inlineStr">
        <is>
          <t>Tangible Deliverable</t>
        </is>
      </c>
      <c r="F3" s="11" t="inlineStr">
        <is>
          <t>Target Universities</t>
        </is>
      </c>
      <c r="G3" s="11" t="inlineStr">
        <is>
          <t>Key Tasks / Action Items</t>
        </is>
      </c>
      <c r="H3" s="11" t="inlineStr">
        <is>
          <t>Priority Action</t>
        </is>
      </c>
      <c r="I3" s="11" t="inlineStr">
        <is>
          <t>Completion Criteria</t>
        </is>
      </c>
      <c r="J3" s="11" t="inlineStr">
        <is>
          <t>Status</t>
        </is>
      </c>
      <c r="K3" s="11" t="inlineStr">
        <is>
          <t>Notes &amp; Reflection</t>
        </is>
      </c>
    </row>
    <row r="4">
      <c r="A4" s="19" t="inlineStr">
        <is>
          <t>Week 1</t>
        </is>
      </c>
      <c r="B4" s="16" t="inlineStr">
        <is>
          <t>Discovery</t>
        </is>
      </c>
      <c r="C4" s="16" t="inlineStr">
        <is>
          <t>T minus 10 Weeks</t>
        </is>
      </c>
      <c r="D4" s="17" t="inlineStr">
        <is>
          <t>Week 1: University &amp; Supervisor Discovery</t>
        </is>
      </c>
      <c r="E4" s="37" t="inlineStr">
        <is>
          <t>Comprehensive Hong Kong 8-University Supervisor &amp; Scholarship Directory</t>
        </is>
      </c>
      <c r="F4" s="17" t="inlineStr">
        <is>
          <t>All 8 Universities</t>
        </is>
      </c>
      <c r="G4" s="17" t="inlineStr">
        <is>
          <t>Assess all 8 target universities, identify 20-30 candidate researchers, map scholarships &amp; deadlines.</t>
        </is>
      </c>
      <c r="H4" s="17" t="inlineStr">
        <is>
          <t>Focus on Supervisor Discovery</t>
        </is>
      </c>
      <c r="I4" s="17" t="inlineStr">
        <is>
          <t>Deliverable produced and reviewed</t>
        </is>
      </c>
      <c r="J4" s="19" t="inlineStr">
        <is>
          <t>Completed</t>
        </is>
      </c>
      <c r="K4" s="17" t="inlineStr"/>
    </row>
    <row r="5">
      <c r="A5" s="15" t="inlineStr">
        <is>
          <t>Week 2</t>
        </is>
      </c>
      <c r="B5" s="12" t="inlineStr">
        <is>
          <t>Qualification</t>
        </is>
      </c>
      <c r="C5" s="12" t="inlineStr">
        <is>
          <t>T minus 9 Weeks</t>
        </is>
      </c>
      <c r="D5" s="13" t="inlineStr">
        <is>
          <t>Week 2: Candidate Qualification &amp; Shortlisting</t>
        </is>
      </c>
      <c r="E5" s="37" t="inlineStr">
        <is>
          <t>Tier-1 Shortlist of 10-15 Qualified Supervisors + Scholarship Mapping</t>
        </is>
      </c>
      <c r="F5" s="13" t="inlineStr">
        <is>
          <t>All 8 Universities</t>
        </is>
      </c>
      <c r="G5" s="13" t="inlineStr">
        <is>
          <t>Filter candidates down to 10-15 top potential supervisors with matched scholarships and PhD programs.</t>
        </is>
      </c>
      <c r="H5" s="13" t="inlineStr">
        <is>
          <t>Application Submission</t>
        </is>
      </c>
      <c r="I5" s="13" t="inlineStr">
        <is>
          <t>Deliverable produced and reviewed</t>
        </is>
      </c>
      <c r="J5" s="15" t="inlineStr">
        <is>
          <t>In Progress</t>
        </is>
      </c>
      <c r="K5" s="13" t="inlineStr"/>
    </row>
    <row r="6">
      <c r="A6" s="19" t="inlineStr">
        <is>
          <t>Week 3</t>
        </is>
      </c>
      <c r="B6" s="16" t="inlineStr">
        <is>
          <t>Deep Research</t>
        </is>
      </c>
      <c r="C6" s="16" t="inlineStr">
        <is>
          <t>T minus 8 Weeks</t>
        </is>
      </c>
      <c r="D6" s="17" t="inlineStr">
        <is>
          <t>Weeks 3-4: Deep Research &amp; Publication Analysis</t>
        </is>
      </c>
      <c r="E6" s="37" t="inlineStr">
        <is>
          <t>Deep Technical Deconstruction Dossiers for Top 5-10 Supervisors</t>
        </is>
      </c>
      <c r="F6" s="17" t="inlineStr">
        <is>
          <t>Top 3-4 Target Institutions</t>
        </is>
      </c>
      <c r="G6" s="17" t="inlineStr">
        <is>
          <t>Analyze publication history, research trajectories, current grants, and methodologies for top 5-10 candidates.</t>
        </is>
      </c>
      <c r="H6" s="17" t="inlineStr">
        <is>
          <t>Application Submission</t>
        </is>
      </c>
      <c r="I6" s="17" t="inlineStr">
        <is>
          <t>Deliverable produced and reviewed</t>
        </is>
      </c>
      <c r="J6" s="19" t="inlineStr">
        <is>
          <t>Not Started</t>
        </is>
      </c>
      <c r="K6" s="17" t="inlineStr"/>
    </row>
    <row r="7">
      <c r="A7" s="15" t="inlineStr">
        <is>
          <t>Week 4</t>
        </is>
      </c>
      <c r="B7" s="12" t="inlineStr">
        <is>
          <t>Deep Research</t>
        </is>
      </c>
      <c r="C7" s="12" t="inlineStr">
        <is>
          <t>T minus 7 Weeks</t>
        </is>
      </c>
      <c r="D7" s="13" t="inlineStr">
        <is>
          <t>Weeks 3-4: Methodology &amp; Research Gap Deconstruction</t>
        </is>
      </c>
      <c r="E7" s="37" t="inlineStr">
        <is>
          <t>Research Gap &amp; Methodology Analysis Matrix</t>
        </is>
      </c>
      <c r="F7" s="13" t="inlineStr">
        <is>
          <t>Top 3-4 Target Institutions</t>
        </is>
      </c>
      <c r="G7" s="13" t="inlineStr">
        <is>
          <t>Identify unaddressed research gaps, simulators used, and active project extensions.</t>
        </is>
      </c>
      <c r="H7" s="13" t="inlineStr">
        <is>
          <t>Application Submission</t>
        </is>
      </c>
      <c r="I7" s="13" t="inlineStr">
        <is>
          <t>Deliverable produced and reviewed</t>
        </is>
      </c>
      <c r="J7" s="15" t="inlineStr">
        <is>
          <t>Not Started</t>
        </is>
      </c>
      <c r="K7" s="13" t="inlineStr"/>
    </row>
    <row r="8">
      <c r="A8" s="19" t="inlineStr">
        <is>
          <t>Week 5</t>
        </is>
      </c>
      <c r="B8" s="16" t="inlineStr">
        <is>
          <t>Alignment</t>
        </is>
      </c>
      <c r="C8" s="16" t="inlineStr">
        <is>
          <t>T minus 6 Weeks</t>
        </is>
      </c>
      <c r="D8" s="17" t="inlineStr">
        <is>
          <t>Weeks 5-6: Research Alignment &amp; Question Formulation</t>
        </is>
      </c>
      <c r="E8" s="37" t="inlineStr">
        <is>
          <t>Supervisor-Aligned Research Questions &amp; Initial Outreach Email Drafts</t>
        </is>
      </c>
      <c r="F8" s="17" t="inlineStr">
        <is>
          <t>Top 3-4 Target Institutions</t>
        </is>
      </c>
      <c r="G8" s="17" t="inlineStr">
        <is>
          <t>Formulate 2-3 specific Research Questions (RQs) aligned with each priority supervisor.</t>
        </is>
      </c>
      <c r="H8" s="17" t="inlineStr">
        <is>
          <t>Outreach Preparation</t>
        </is>
      </c>
      <c r="I8" s="17" t="inlineStr">
        <is>
          <t>Deliverable produced and reviewed</t>
        </is>
      </c>
      <c r="J8" s="19" t="inlineStr">
        <is>
          <t>Not Started</t>
        </is>
      </c>
      <c r="K8" s="17" t="inlineStr"/>
    </row>
    <row r="9">
      <c r="A9" s="15" t="inlineStr">
        <is>
          <t>Week 6</t>
        </is>
      </c>
      <c r="B9" s="12" t="inlineStr">
        <is>
          <t>Alignment</t>
        </is>
      </c>
      <c r="C9" s="12" t="inlineStr">
        <is>
          <t>T minus 5 Weeks</t>
        </is>
      </c>
      <c r="D9" s="13" t="inlineStr">
        <is>
          <t>Weeks 5-6: Personalized Supervisor Outreach</t>
        </is>
      </c>
      <c r="E9" s="37" t="inlineStr">
        <is>
          <t>Supervisor Outreach Sent &amp; Responses Logged</t>
        </is>
      </c>
      <c r="F9" s="13" t="inlineStr">
        <is>
          <t>Top 3-4 Target Institutions</t>
        </is>
      </c>
      <c r="G9" s="13" t="inlineStr">
        <is>
          <t>Send tailored outreach emails demonstrating genuine familiarity with their recent publications.</t>
        </is>
      </c>
      <c r="H9" s="13" t="inlineStr">
        <is>
          <t>Outreach Preparation</t>
        </is>
      </c>
      <c r="I9" s="13" t="inlineStr">
        <is>
          <t>Deliverable produced and reviewed</t>
        </is>
      </c>
      <c r="J9" s="15" t="inlineStr">
        <is>
          <t>Not Started</t>
        </is>
      </c>
      <c r="K9" s="13" t="inlineStr"/>
    </row>
    <row r="10">
      <c r="A10" s="19" t="inlineStr">
        <is>
          <t>Week 7</t>
        </is>
      </c>
      <c r="B10" s="16" t="inlineStr">
        <is>
          <t>Application Preparation</t>
        </is>
      </c>
      <c r="C10" s="16" t="inlineStr">
        <is>
          <t>T minus 4 Weeks</t>
        </is>
      </c>
      <c r="D10" s="17" t="inlineStr">
        <is>
          <t>Weeks 7-8: Research Proposal &amp; Application Materials</t>
        </is>
      </c>
      <c r="E10" s="37" t="inlineStr">
        <is>
          <t>Polished PhD Research Proposal + Tailored Academic CV + SOP Draft</t>
        </is>
      </c>
      <c r="F10" s="17" t="inlineStr">
        <is>
          <t>Top 3-4 Target Institutions</t>
        </is>
      </c>
      <c r="G10" s="17" t="inlineStr">
        <is>
          <t>Draft 5-page PhD research proposal, tailored CV, statement of purpose, and arrange reference letters.</t>
        </is>
      </c>
      <c r="H10" s="17" t="inlineStr">
        <is>
          <t>Application Submission</t>
        </is>
      </c>
      <c r="I10" s="17" t="inlineStr">
        <is>
          <t>Deliverable produced and reviewed</t>
        </is>
      </c>
      <c r="J10" s="19" t="inlineStr">
        <is>
          <t>Not Started</t>
        </is>
      </c>
      <c r="K10" s="17" t="inlineStr"/>
    </row>
    <row r="11">
      <c r="A11" s="15" t="inlineStr">
        <is>
          <t>Week 8</t>
        </is>
      </c>
      <c r="B11" s="12" t="inlineStr">
        <is>
          <t>Application Preparation</t>
        </is>
      </c>
      <c r="C11" s="12" t="inlineStr">
        <is>
          <t>T minus 3 Weeks</t>
        </is>
      </c>
      <c r="D11" s="13" t="inlineStr">
        <is>
          <t>Weeks 7-8: Portal Setup &amp; Transcript Verification</t>
        </is>
      </c>
      <c r="E11" s="37" t="inlineStr">
        <is>
          <t>All University Portal Profiles Initialized &amp; Required Documents Uploaded</t>
        </is>
      </c>
      <c r="F11" s="13" t="inlineStr">
        <is>
          <t>Top 3-4 Target Institutions</t>
        </is>
      </c>
      <c r="G11" s="13" t="inlineStr">
        <is>
          <t>Create accounts on RGC HKPFS portal and individual university graduate admissions portals.</t>
        </is>
      </c>
      <c r="H11" s="13" t="inlineStr">
        <is>
          <t>Application Submission</t>
        </is>
      </c>
      <c r="I11" s="13" t="inlineStr">
        <is>
          <t>Deliverable produced and reviewed</t>
        </is>
      </c>
      <c r="J11" s="15" t="inlineStr">
        <is>
          <t>Not Started</t>
        </is>
      </c>
      <c r="K11" s="13" t="inlineStr"/>
    </row>
    <row r="12">
      <c r="A12" s="19" t="inlineStr">
        <is>
          <t>Week 9</t>
        </is>
      </c>
      <c r="B12" s="16" t="inlineStr">
        <is>
          <t>Final Review</t>
        </is>
      </c>
      <c r="C12" s="16" t="inlineStr">
        <is>
          <t>T minus 2 Weeks</t>
        </is>
      </c>
      <c r="D12" s="17" t="inlineStr">
        <is>
          <t>Week 9: Final Compliance Review &amp; Quality Audit</t>
        </is>
      </c>
      <c r="E12" s="37" t="inlineStr">
        <is>
          <t>Pre-Submission Quality Audit &amp; Final Proposal Proofing Complete</t>
        </is>
      </c>
      <c r="F12" s="17" t="inlineStr">
        <is>
          <t>Top 3-4 Target Institutions</t>
        </is>
      </c>
      <c r="G12" s="17" t="inlineStr">
        <is>
          <t>Audit eligibility, supervisor pre-approval status, scholarship requirements, and deadline verifications.</t>
        </is>
      </c>
      <c r="H12" s="17" t="inlineStr">
        <is>
          <t>Application Submission</t>
        </is>
      </c>
      <c r="I12" s="17" t="inlineStr">
        <is>
          <t>Deliverable produced and reviewed</t>
        </is>
      </c>
      <c r="J12" s="19" t="inlineStr">
        <is>
          <t>Not Started</t>
        </is>
      </c>
      <c r="K12" s="17" t="inlineStr"/>
    </row>
    <row r="13">
      <c r="A13" s="15" t="inlineStr">
        <is>
          <t>Week 10</t>
        </is>
      </c>
      <c r="B13" s="12" t="inlineStr">
        <is>
          <t>Submission</t>
        </is>
      </c>
      <c r="C13" s="12" t="inlineStr">
        <is>
          <t>T minus 1 Weeks</t>
        </is>
      </c>
      <c r="D13" s="13" t="inlineStr">
        <is>
          <t>Week 10: Formal Application Submission</t>
        </is>
      </c>
      <c r="E13" s="37" t="inlineStr">
        <is>
          <t>HKPFS Reference Number Obtained &amp; University Applications Submitted</t>
        </is>
      </c>
      <c r="F13" s="13" t="inlineStr">
        <is>
          <t>Top 3-4 Target Institutions</t>
        </is>
      </c>
      <c r="G13" s="13" t="inlineStr">
        <is>
          <t>Submit RGC HKPFS application ahead of Dec 1 noon deadline and finalize institutional submissions.</t>
        </is>
      </c>
      <c r="H13" s="13" t="inlineStr">
        <is>
          <t>Application Submission</t>
        </is>
      </c>
      <c r="I13" s="13" t="inlineStr">
        <is>
          <t>Deliverable produced and reviewed</t>
        </is>
      </c>
      <c r="J13" s="15" t="inlineStr">
        <is>
          <t>Not Started</t>
        </is>
      </c>
      <c r="K13" s="13" t="inlineStr"/>
    </row>
  </sheetData>
  <mergeCells count="1">
    <mergeCell ref="A1:K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0"/>
  <sheetViews>
    <sheetView showGridLines="1" workbookViewId="0">
      <selection activeCell="A1" sqref="A1"/>
    </sheetView>
  </sheetViews>
  <sheetFormatPr baseColWidth="8" defaultRowHeight="15"/>
  <cols>
    <col width="17" customWidth="1" min="1" max="1"/>
    <col width="12" customWidth="1" min="2" max="2"/>
    <col width="40" customWidth="1" min="3" max="3"/>
    <col width="15" customWidth="1" min="4" max="4"/>
    <col width="21" customWidth="1" min="5" max="5"/>
    <col width="15" customWidth="1" min="6" max="6"/>
    <col width="40" customWidth="1" min="7" max="7"/>
    <col width="18" customWidth="1" min="8" max="8"/>
  </cols>
  <sheetData>
    <row r="1" ht="36" customHeight="1">
      <c r="A1" s="69" t="inlineStr">
        <is>
          <t>GLOBAL PhD FUNDING &amp; COUNTRY RESEARCH ECOSYSTEMS</t>
        </is>
      </c>
    </row>
    <row r="2"/>
    <row r="3" ht="24" customHeight="1">
      <c r="A3" s="70" t="inlineStr">
        <is>
          <t>Country</t>
        </is>
      </c>
      <c r="B3" s="70" t="inlineStr">
        <is>
          <t>Code</t>
        </is>
      </c>
      <c r="C3" s="70" t="inlineStr">
        <is>
          <t>Primary Funding Vehicle</t>
        </is>
      </c>
      <c r="D3" s="70" t="inlineStr">
        <is>
          <t>Universities</t>
        </is>
      </c>
      <c r="E3" s="70" t="inlineStr">
        <is>
          <t>Vetted Supervisors</t>
        </is>
      </c>
      <c r="F3" s="70" t="inlineStr">
        <is>
          <t>Key Deadline</t>
        </is>
      </c>
      <c r="G3" s="70" t="inlineStr">
        <is>
          <t>Dependant Visa Policy</t>
        </is>
      </c>
      <c r="H3" s="70" t="inlineStr">
        <is>
          <t>Status</t>
        </is>
      </c>
    </row>
    <row r="4">
      <c r="A4" s="71" t="inlineStr">
        <is>
          <t>United Kingdom</t>
        </is>
      </c>
      <c r="B4" s="72" t="inlineStr">
        <is>
          <t>UK</t>
        </is>
      </c>
      <c r="C4" s="72" t="inlineStr">
        <is>
          <t>UKRI / EPSRC Doctoral Studentships &amp; University Doctoral Scholarships</t>
        </is>
      </c>
      <c r="D4" s="72" t="n">
        <v>8</v>
      </c>
      <c r="E4" s="72" t="n">
        <v>9</v>
      </c>
      <c r="F4" s="72" t="inlineStr">
        <is>
          <t>2026-12-15</t>
        </is>
      </c>
      <c r="G4" s="72" t="inlineStr">
        <is>
          <t>International postgraduate research (PhD/Doctoral) students ...</t>
        </is>
      </c>
      <c r="H4" s="72" t="inlineStr">
        <is>
          <t>Active Campaign</t>
        </is>
      </c>
    </row>
    <row r="5">
      <c r="A5" s="73" t="inlineStr">
        <is>
          <t>Japan</t>
        </is>
      </c>
      <c r="B5" s="74" t="inlineStr">
        <is>
          <t>JP</t>
        </is>
      </c>
      <c r="C5" s="74" t="inlineStr">
        <is>
          <t>MEXT Government Doctoral Scholarship, JSPS Research Fellowships &amp; University Fellowships</t>
        </is>
      </c>
      <c r="D5" s="74" t="n">
        <v>8</v>
      </c>
      <c r="E5" s="74" t="n">
        <v>8</v>
      </c>
      <c r="F5" s="74" t="inlineStr">
        <is>
          <t>2026-11-30</t>
        </is>
      </c>
      <c r="G5" s="74" t="inlineStr">
        <is>
          <t>International doctoral students holding a College Student (R...</t>
        </is>
      </c>
      <c r="H5" s="74" t="inlineStr">
        <is>
          <t>Active Campaign</t>
        </is>
      </c>
    </row>
    <row r="6">
      <c r="A6" s="71" t="inlineStr">
        <is>
          <t>Germany</t>
        </is>
      </c>
      <c r="B6" s="72" t="inlineStr">
        <is>
          <t>DE</t>
        </is>
      </c>
      <c r="C6" s="72" t="inlineStr">
        <is>
          <t>TV-L E13 Salaried Research Associate Positions (100%/75%), DAAD Grants &amp; DFG RTGs</t>
        </is>
      </c>
      <c r="D6" s="72" t="n">
        <v>8</v>
      </c>
      <c r="E6" s="72" t="n">
        <v>8</v>
      </c>
      <c r="F6" s="72" t="inlineStr">
        <is>
          <t>2026-12-01</t>
        </is>
      </c>
      <c r="G6" s="72" t="inlineStr">
        <is>
          <t>Dependants (spouse and minor children) are eligible for fami...</t>
        </is>
      </c>
      <c r="H6" s="72" t="inlineStr">
        <is>
          <t>Active Campaign</t>
        </is>
      </c>
    </row>
    <row r="7">
      <c r="A7" s="73" t="inlineStr">
        <is>
          <t>United States</t>
        </is>
      </c>
      <c r="B7" s="74" t="inlineStr">
        <is>
          <t>US</t>
        </is>
      </c>
      <c r="C7" s="74" t="inlineStr">
        <is>
          <t>Full Graduate Research Assistantships (100% Tuition Waiver + $30k-$48k Stipend)</t>
        </is>
      </c>
      <c r="D7" s="74" t="n">
        <v>8</v>
      </c>
      <c r="E7" s="74" t="n">
        <v>8</v>
      </c>
      <c r="F7" s="74" t="inlineStr">
        <is>
          <t>2026-12-15</t>
        </is>
      </c>
      <c r="G7" s="74" t="inlineStr">
        <is>
          <t>Spouses and unmarried minor children of F-1/J-1 doctoral stu...</t>
        </is>
      </c>
      <c r="H7" s="74" t="inlineStr">
        <is>
          <t>Active Campaign</t>
        </is>
      </c>
    </row>
    <row r="8">
      <c r="A8" s="71" t="inlineStr">
        <is>
          <t>Canada</t>
        </is>
      </c>
      <c r="B8" s="72" t="inlineStr">
        <is>
          <t>CA</t>
        </is>
      </c>
      <c r="C8" s="72" t="inlineStr">
        <is>
          <t>Vanier CGS ($50,000/yr), NSERC Fellowships &amp; Departmental Guaranteed PhD Funding Packages ($25k-$35k/yr)</t>
        </is>
      </c>
      <c r="D8" s="72" t="n">
        <v>8</v>
      </c>
      <c r="E8" s="72" t="n">
        <v>8</v>
      </c>
      <c r="F8" s="72" t="inlineStr">
        <is>
          <t>2026-12-15</t>
        </is>
      </c>
      <c r="G8" s="72" t="inlineStr">
        <is>
          <t>Spouses/common-law partners of full-time doctoral (PhD) stud...</t>
        </is>
      </c>
      <c r="H8" s="72" t="inlineStr">
        <is>
          <t>Active Campaign</t>
        </is>
      </c>
    </row>
    <row r="9">
      <c r="A9" s="73" t="inlineStr">
        <is>
          <t>Sweden</t>
        </is>
      </c>
      <c r="B9" s="74" t="inlineStr">
        <is>
          <t>SE</t>
        </is>
      </c>
      <c r="C9" s="74" t="inlineStr">
        <is>
          <t>Fully Salaried Doctoral Employment (~31,000-35,000 SEK/month, free tuition, social benefits) &amp; WASP Fellowships</t>
        </is>
      </c>
      <c r="D9" s="74" t="n">
        <v>8</v>
      </c>
      <c r="E9" s="74" t="n">
        <v>9</v>
      </c>
      <c r="F9" s="74" t="inlineStr">
        <is>
          <t>2026-12-01</t>
        </is>
      </c>
      <c r="G9" s="74" t="inlineStr">
        <is>
          <t>Doctoral positions in Sweden are classified as salaried empl...</t>
        </is>
      </c>
      <c r="H9" s="74" t="inlineStr">
        <is>
          <t>Active Campaign</t>
        </is>
      </c>
    </row>
    <row r="10">
      <c r="A10" s="71" t="inlineStr">
        <is>
          <t>Hong Kong</t>
        </is>
      </c>
      <c r="B10" s="72" t="inlineStr">
        <is>
          <t>HK</t>
        </is>
      </c>
      <c r="C10" s="72" t="inlineStr">
        <is>
          <t>Hong Kong PhD Fellowship Scheme (HKPFS HK$331,200/yr + travel allowance) &amp; University Postgraduate Studentships</t>
        </is>
      </c>
      <c r="D10" s="72" t="n">
        <v>8</v>
      </c>
      <c r="E10" s="72" t="n">
        <v>12</v>
      </c>
      <c r="F10" s="72" t="inlineStr">
        <is>
          <t>2026-12-01</t>
        </is>
      </c>
      <c r="G10" s="72" t="inlineStr">
        <is>
          <t>Full-time doctoral students in Hong Kong may sponsor legal s...</t>
        </is>
      </c>
      <c r="H10" s="72" t="inlineStr">
        <is>
          <t>Active Campaign</t>
        </is>
      </c>
    </row>
  </sheetData>
  <mergeCells count="1">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65"/>
  <sheetViews>
    <sheetView showGridLines="1" workbookViewId="0">
      <selection activeCell="A1" sqref="A1"/>
    </sheetView>
  </sheetViews>
  <sheetFormatPr baseColWidth="8" defaultRowHeight="15"/>
  <cols>
    <col width="17" customWidth="1" min="1" max="1"/>
    <col width="40" customWidth="1" min="2" max="2"/>
    <col width="39" customWidth="1" min="3" max="3"/>
    <col width="40" customWidth="1" min="4" max="4"/>
    <col width="40" customWidth="1" min="5" max="5"/>
    <col width="12" customWidth="1" min="6" max="6"/>
    <col width="12" customWidth="1" min="7" max="7"/>
    <col width="21" customWidth="1" min="8" max="8"/>
    <col width="40" customWidth="1" min="9" max="9"/>
    <col width="21" customWidth="1" min="10" max="10"/>
  </cols>
  <sheetData>
    <row r="1" ht="36" customHeight="1">
      <c r="A1" s="69" t="inlineStr">
        <is>
          <t>GLOBAL PhD SUPERVISOR DIRECTORY — EDGE COMPUTING &amp; DISTRIBUTED SYSTEMS</t>
        </is>
      </c>
    </row>
    <row r="2"/>
    <row r="3" ht="24" customHeight="1">
      <c r="A3" s="70" t="inlineStr">
        <is>
          <t>Country</t>
        </is>
      </c>
      <c r="B3" s="70" t="inlineStr">
        <is>
          <t>University</t>
        </is>
      </c>
      <c r="C3" s="70" t="inlineStr">
        <is>
          <t>Professor</t>
        </is>
      </c>
      <c r="D3" s="70" t="inlineStr">
        <is>
          <t>Department</t>
        </is>
      </c>
      <c r="E3" s="70" t="inlineStr">
        <is>
          <t>Primary Research Areas</t>
        </is>
      </c>
      <c r="F3" s="70" t="inlineStr">
        <is>
          <t>Fit %</t>
        </is>
      </c>
      <c r="G3" s="70" t="inlineStr">
        <is>
          <t>Tier</t>
        </is>
      </c>
      <c r="H3" s="70" t="inlineStr">
        <is>
          <t>Recruitment Status</t>
        </is>
      </c>
      <c r="I3" s="70" t="inlineStr">
        <is>
          <t>Official Profile URL</t>
        </is>
      </c>
      <c r="J3" s="70" t="inlineStr">
        <is>
          <t>Verified Freshness</t>
        </is>
      </c>
    </row>
    <row r="4">
      <c r="A4" s="71" t="inlineStr">
        <is>
          <t>United Kingdom</t>
        </is>
      </c>
      <c r="B4" s="72" t="inlineStr">
        <is>
          <t>University of Cambridge</t>
        </is>
      </c>
      <c r="C4" s="71" t="inlineStr">
        <is>
          <t>Prof. Jon Crowcroft</t>
        </is>
      </c>
      <c r="D4" s="72" t="inlineStr">
        <is>
          <t>Department of Computer Science and Technology</t>
        </is>
      </c>
      <c r="E4" s="72" t="inlineStr">
        <is>
          <t>Decentralized Edge Systems, Pervasive Computing, Privacy-Preserving Edge AI</t>
        </is>
      </c>
      <c r="F4" s="72" t="inlineStr">
        <is>
          <t>97.5%</t>
        </is>
      </c>
      <c r="G4" s="72" t="inlineStr">
        <is>
          <t>Tier 1</t>
        </is>
      </c>
      <c r="H4" s="72" t="inlineStr">
        <is>
          <t>CONFIRMED_ACTIVE</t>
        </is>
      </c>
      <c r="I4" s="72" t="inlineStr">
        <is>
          <t>https://www.cl.cam.ac.uk/~jac22/</t>
        </is>
      </c>
      <c r="J4" s="72" t="inlineStr">
        <is>
          <t>2026-09-15</t>
        </is>
      </c>
    </row>
    <row r="5">
      <c r="A5" s="73" t="inlineStr">
        <is>
          <t>United Kingdom</t>
        </is>
      </c>
      <c r="B5" s="74" t="inlineStr">
        <is>
          <t>Imperial College London</t>
        </is>
      </c>
      <c r="C5" s="73" t="inlineStr">
        <is>
          <t>Prof. Julie A. McCann</t>
        </is>
      </c>
      <c r="D5" s="74" t="inlineStr">
        <is>
          <t>Department of Computing</t>
        </is>
      </c>
      <c r="E5" s="74" t="inlineStr">
        <is>
          <t>Edge Computing, Low-Power Wireless Networks, Cyber-Physical Systems</t>
        </is>
      </c>
      <c r="F5" s="74" t="inlineStr">
        <is>
          <t>96.0%</t>
        </is>
      </c>
      <c r="G5" s="74" t="inlineStr">
        <is>
          <t>Tier 1</t>
        </is>
      </c>
      <c r="H5" s="74" t="inlineStr">
        <is>
          <t>CONFIRMED_ACTIVE</t>
        </is>
      </c>
      <c r="I5" s="74" t="inlineStr">
        <is>
          <t>https://www.imperial.ac.uk/people/j.mccann</t>
        </is>
      </c>
      <c r="J5" s="74" t="inlineStr">
        <is>
          <t>2026-09-15</t>
        </is>
      </c>
    </row>
    <row r="6">
      <c r="A6" s="71" t="inlineStr">
        <is>
          <t>United Kingdom</t>
        </is>
      </c>
      <c r="B6" s="72" t="inlineStr">
        <is>
          <t>Imperial College London</t>
        </is>
      </c>
      <c r="C6" s="71" t="inlineStr">
        <is>
          <t>Prof. Peter Pietzuch</t>
        </is>
      </c>
      <c r="D6" s="72" t="inlineStr">
        <is>
          <t>Department of Computing</t>
        </is>
      </c>
      <c r="E6" s="72" t="inlineStr">
        <is>
          <t>Large-Scale Distributed Systems, Confidential Computing, Edge-Cloud Continuum</t>
        </is>
      </c>
      <c r="F6" s="72" t="inlineStr">
        <is>
          <t>98.0%</t>
        </is>
      </c>
      <c r="G6" s="72" t="inlineStr">
        <is>
          <t>Tier 1</t>
        </is>
      </c>
      <c r="H6" s="72" t="inlineStr">
        <is>
          <t>CONFIRMED_ACTIVE</t>
        </is>
      </c>
      <c r="I6" s="72" t="inlineStr">
        <is>
          <t>https://www.imperial.ac.uk/people/prp</t>
        </is>
      </c>
      <c r="J6" s="72" t="inlineStr">
        <is>
          <t>2026-09-15</t>
        </is>
      </c>
    </row>
    <row r="7">
      <c r="A7" s="73" t="inlineStr">
        <is>
          <t>United Kingdom</t>
        </is>
      </c>
      <c r="B7" s="74" t="inlineStr">
        <is>
          <t>University of Edinburgh</t>
        </is>
      </c>
      <c r="C7" s="73" t="inlineStr">
        <is>
          <t>Prof. Mahesh Marina</t>
        </is>
      </c>
      <c r="D7" s="74" t="inlineStr">
        <is>
          <t>School of Informatics</t>
        </is>
      </c>
      <c r="E7" s="74" t="inlineStr">
        <is>
          <t>5G/6G Mobile Edge Networks, Software-Defined Radio, Edge AI for Wireless Optimization</t>
        </is>
      </c>
      <c r="F7" s="74" t="inlineStr">
        <is>
          <t>95.0%</t>
        </is>
      </c>
      <c r="G7" s="74" t="inlineStr">
        <is>
          <t>Tier 1</t>
        </is>
      </c>
      <c r="H7" s="74" t="inlineStr">
        <is>
          <t>STRONG_EVIDENCE</t>
        </is>
      </c>
      <c r="I7" s="74" t="inlineStr">
        <is>
          <t>https://homepages.inf.ed.ac.uk/mmarina/</t>
        </is>
      </c>
      <c r="J7" s="74" t="inlineStr">
        <is>
          <t>2026-09-15</t>
        </is>
      </c>
    </row>
    <row r="8">
      <c r="A8" s="71" t="inlineStr">
        <is>
          <t>United Kingdom</t>
        </is>
      </c>
      <c r="B8" s="72" t="inlineStr">
        <is>
          <t>Imperial College London</t>
        </is>
      </c>
      <c r="C8" s="71" t="inlineStr">
        <is>
          <t>Prof. Hamed Haddadi</t>
        </is>
      </c>
      <c r="D8" s="72" t="inlineStr">
        <is>
          <t>Dyson School of Design Engineering / Department of Computing</t>
        </is>
      </c>
      <c r="E8" s="72" t="inlineStr">
        <is>
          <t>Privacy-Preserving Edge Machine Learning, Internet of Things, On-Device Sensing</t>
        </is>
      </c>
      <c r="F8" s="72" t="inlineStr">
        <is>
          <t>97.0%</t>
        </is>
      </c>
      <c r="G8" s="72" t="inlineStr">
        <is>
          <t>Tier 1</t>
        </is>
      </c>
      <c r="H8" s="72" t="inlineStr">
        <is>
          <t>CONFIRMED_ACTIVE</t>
        </is>
      </c>
      <c r="I8" s="72" t="inlineStr">
        <is>
          <t>https://www.imperial.ac.uk/people/h.haddadi</t>
        </is>
      </c>
      <c r="J8" s="72" t="inlineStr">
        <is>
          <t>2026-09-15</t>
        </is>
      </c>
    </row>
    <row r="9">
      <c r="A9" s="73" t="inlineStr">
        <is>
          <t>United Kingdom</t>
        </is>
      </c>
      <c r="B9" s="74" t="inlineStr">
        <is>
          <t>University of Cambridge</t>
        </is>
      </c>
      <c r="C9" s="73" t="inlineStr">
        <is>
          <t>Prof. Cecilia Mascolo</t>
        </is>
      </c>
      <c r="D9" s="74" t="inlineStr">
        <is>
          <t>Department of Computer Science and Technology</t>
        </is>
      </c>
      <c r="E9" s="74" t="inlineStr">
        <is>
          <t>Mobile Edge Systems, On-Device Audio AI, Wearable Sensing</t>
        </is>
      </c>
      <c r="F9" s="74" t="inlineStr">
        <is>
          <t>96.5%</t>
        </is>
      </c>
      <c r="G9" s="74" t="inlineStr">
        <is>
          <t>Tier 1</t>
        </is>
      </c>
      <c r="H9" s="74" t="inlineStr">
        <is>
          <t>CONFIRMED_ACTIVE</t>
        </is>
      </c>
      <c r="I9" s="74" t="inlineStr">
        <is>
          <t>https://www.cl.cam.ac.uk/~cm542/</t>
        </is>
      </c>
      <c r="J9" s="74" t="inlineStr">
        <is>
          <t>2026-09-15</t>
        </is>
      </c>
    </row>
    <row r="10">
      <c r="A10" s="71" t="inlineStr">
        <is>
          <t>United Kingdom</t>
        </is>
      </c>
      <c r="B10" s="72" t="inlineStr">
        <is>
          <t>University of Cambridge</t>
        </is>
      </c>
      <c r="C10" s="71" t="inlineStr">
        <is>
          <t>Dr. Eiko Yoneki</t>
        </is>
      </c>
      <c r="D10" s="72" t="inlineStr">
        <is>
          <t>Department of Computer Science and Technology</t>
        </is>
      </c>
      <c r="E10" s="72" t="inlineStr">
        <is>
          <t>Systems for Machine Learning, Edge AI Acceleration, Graph Neural Networks at Edge</t>
        </is>
      </c>
      <c r="F10" s="72" t="inlineStr">
        <is>
          <t>95.5%</t>
        </is>
      </c>
      <c r="G10" s="72" t="inlineStr">
        <is>
          <t>Tier 1</t>
        </is>
      </c>
      <c r="H10" s="72" t="inlineStr">
        <is>
          <t>CONFIRMED_ACTIVE</t>
        </is>
      </c>
      <c r="I10" s="72" t="inlineStr">
        <is>
          <t>https://www.cl.cam.ac.uk/~ey204/</t>
        </is>
      </c>
      <c r="J10" s="72" t="inlineStr">
        <is>
          <t>2026-09-15</t>
        </is>
      </c>
    </row>
    <row r="11">
      <c r="A11" s="73" t="inlineStr">
        <is>
          <t>United Kingdom</t>
        </is>
      </c>
      <c r="B11" s="74" t="inlineStr">
        <is>
          <t>University of Glasgow</t>
        </is>
      </c>
      <c r="C11" s="73" t="inlineStr">
        <is>
          <t>Prof. Dimitrios Pezaros</t>
        </is>
      </c>
      <c r="D11" s="74" t="inlineStr">
        <is>
          <t>School of Computing Science</t>
        </is>
      </c>
      <c r="E11" s="74" t="inlineStr">
        <is>
          <t>Resilient Edge Computing, Software-Defined Networking, Edge Cloud Orchestration</t>
        </is>
      </c>
      <c r="F11" s="74" t="inlineStr">
        <is>
          <t>93.0%</t>
        </is>
      </c>
      <c r="G11" s="74" t="inlineStr">
        <is>
          <t>Tier 1</t>
        </is>
      </c>
      <c r="H11" s="74" t="inlineStr">
        <is>
          <t>STRONG_EVIDENCE</t>
        </is>
      </c>
      <c r="I11" s="74" t="inlineStr">
        <is>
          <t>https://www.gla.ac.uk/schools/computing/staff/dimitriospezaros/</t>
        </is>
      </c>
      <c r="J11" s="74" t="inlineStr">
        <is>
          <t>2026-09-15</t>
        </is>
      </c>
    </row>
    <row r="12">
      <c r="A12" s="71" t="inlineStr">
        <is>
          <t>United Kingdom</t>
        </is>
      </c>
      <c r="B12" s="72" t="inlineStr">
        <is>
          <t>University of Surrey / King's College London</t>
        </is>
      </c>
      <c r="C12" s="71" t="inlineStr">
        <is>
          <t>Prof. Nishanth Sastry</t>
        </is>
      </c>
      <c r="D12" s="72" t="inlineStr">
        <is>
          <t>Department of Computer Science / Informatics</t>
        </is>
      </c>
      <c r="E12" s="72" t="inlineStr">
        <is>
          <t>Edge Caching, Content Distribution Networks, Distributed Systems</t>
        </is>
      </c>
      <c r="F12" s="72" t="inlineStr">
        <is>
          <t>94.0%</t>
        </is>
      </c>
      <c r="G12" s="72" t="inlineStr">
        <is>
          <t>Tier 1</t>
        </is>
      </c>
      <c r="H12" s="72" t="inlineStr">
        <is>
          <t>STRONG_EVIDENCE</t>
        </is>
      </c>
      <c r="I12" s="72" t="inlineStr">
        <is>
          <t>https://www.surrey.ac.uk/people/nishanth-sastry</t>
        </is>
      </c>
      <c r="J12" s="72" t="inlineStr">
        <is>
          <t>2026-09-15</t>
        </is>
      </c>
    </row>
    <row r="13">
      <c r="A13" s="73" t="inlineStr">
        <is>
          <t>Japan</t>
        </is>
      </c>
      <c r="B13" s="74" t="inlineStr">
        <is>
          <t>The University of Tokyo / IIJ Research Lab</t>
        </is>
      </c>
      <c r="C13" s="73" t="inlineStr">
        <is>
          <t>Prof. Kenjiro Cho</t>
        </is>
      </c>
      <c r="D13" s="74" t="inlineStr">
        <is>
          <t>Graduate School of Information Science and Technology</t>
        </is>
      </c>
      <c r="E13" s="74" t="inlineStr">
        <is>
          <t>Internet Architecture, Edge Traffic Measurement, Network Observability</t>
        </is>
      </c>
      <c r="F13" s="74" t="inlineStr">
        <is>
          <t>96.0%</t>
        </is>
      </c>
      <c r="G13" s="74" t="inlineStr">
        <is>
          <t>Tier 1</t>
        </is>
      </c>
      <c r="H13" s="74" t="inlineStr">
        <is>
          <t>CONFIRMED_ACTIVE</t>
        </is>
      </c>
      <c r="I13" s="74" t="inlineStr">
        <is>
          <t>https://www.iijlab.net/~kjc/</t>
        </is>
      </c>
      <c r="J13" s="74" t="inlineStr">
        <is>
          <t>2026-09-15</t>
        </is>
      </c>
    </row>
    <row r="14">
      <c r="A14" s="71" t="inlineStr">
        <is>
          <t>Japan</t>
        </is>
      </c>
      <c r="B14" s="72" t="inlineStr">
        <is>
          <t>The University of Tokyo</t>
        </is>
      </c>
      <c r="C14" s="71" t="inlineStr">
        <is>
          <t>Prof. Hiroshi Esaki</t>
        </is>
      </c>
      <c r="D14" s="72" t="inlineStr">
        <is>
          <t>Graduate School of Information Science and Technology</t>
        </is>
      </c>
      <c r="E14" s="72" t="inlineStr">
        <is>
          <t>Smart Building Edge Computing, Internet of Things, IPv6 Architecture</t>
        </is>
      </c>
      <c r="F14" s="72" t="inlineStr">
        <is>
          <t>95.0%</t>
        </is>
      </c>
      <c r="G14" s="72" t="inlineStr">
        <is>
          <t>Tier 1</t>
        </is>
      </c>
      <c r="H14" s="72" t="inlineStr">
        <is>
          <t>CONFIRMED_ACTIVE</t>
        </is>
      </c>
      <c r="I14" s="72" t="inlineStr">
        <is>
          <t>https://www.hongo.wide.ad.jp/</t>
        </is>
      </c>
      <c r="J14" s="72" t="inlineStr">
        <is>
          <t>2026-09-15</t>
        </is>
      </c>
    </row>
    <row r="15">
      <c r="A15" s="73" t="inlineStr">
        <is>
          <t>Japan</t>
        </is>
      </c>
      <c r="B15" s="74" t="inlineStr">
        <is>
          <t>The University of Tokyo</t>
        </is>
      </c>
      <c r="C15" s="73" t="inlineStr">
        <is>
          <t>Prof. Koji Yatani</t>
        </is>
      </c>
      <c r="D15" s="74" t="inlineStr">
        <is>
          <t>Department of Electrical Engineering and Information Systems</t>
        </is>
      </c>
      <c r="E15" s="74" t="inlineStr">
        <is>
          <t>Mobile Edge Intelligence, On-Device Sensing, Human-AI Systems</t>
        </is>
      </c>
      <c r="F15" s="74" t="inlineStr">
        <is>
          <t>96.0%</t>
        </is>
      </c>
      <c r="G15" s="74" t="inlineStr">
        <is>
          <t>Tier 1</t>
        </is>
      </c>
      <c r="H15" s="74" t="inlineStr">
        <is>
          <t>CONFIRMED_ACTIVE</t>
        </is>
      </c>
      <c r="I15" s="74" t="inlineStr">
        <is>
          <t>https://iis-lab.org/people/koji/</t>
        </is>
      </c>
      <c r="J15" s="74" t="inlineStr">
        <is>
          <t>2026-09-15</t>
        </is>
      </c>
    </row>
    <row r="16">
      <c r="A16" s="71" t="inlineStr">
        <is>
          <t>Japan</t>
        </is>
      </c>
      <c r="B16" s="72" t="inlineStr">
        <is>
          <t>Keio University</t>
        </is>
      </c>
      <c r="C16" s="71" t="inlineStr">
        <is>
          <t>Prof. Hiroki Matsutani</t>
        </is>
      </c>
      <c r="D16" s="72" t="inlineStr">
        <is>
          <t>Department of Information and Computer Science</t>
        </is>
      </c>
      <c r="E16" s="72" t="inlineStr">
        <is>
          <t>Edge AI Hardware Accelerators, On-Chip Networks (NoC), On-Device Learning</t>
        </is>
      </c>
      <c r="F16" s="72" t="inlineStr">
        <is>
          <t>97.0%</t>
        </is>
      </c>
      <c r="G16" s="72" t="inlineStr">
        <is>
          <t>Tier 1</t>
        </is>
      </c>
      <c r="H16" s="72" t="inlineStr">
        <is>
          <t>CONFIRMED_ACTIVE</t>
        </is>
      </c>
      <c r="I16" s="72" t="inlineStr">
        <is>
          <t>https://www.arc.ics.keio.ac.jp/~matutani/</t>
        </is>
      </c>
      <c r="J16" s="72" t="inlineStr">
        <is>
          <t>2026-09-15</t>
        </is>
      </c>
    </row>
    <row r="17">
      <c r="A17" s="73" t="inlineStr">
        <is>
          <t>Japan</t>
        </is>
      </c>
      <c r="B17" s="74" t="inlineStr">
        <is>
          <t>The University of Tokyo</t>
        </is>
      </c>
      <c r="C17" s="73" t="inlineStr">
        <is>
          <t>Prof. Toyotaro Suzumura</t>
        </is>
      </c>
      <c r="D17" s="74" t="inlineStr">
        <is>
          <t>Graduate School of Information Science and Technology</t>
        </is>
      </c>
      <c r="E17" s="74" t="inlineStr">
        <is>
          <t>Distributed Graph AI, High-Performance Computing, Large-Scale Edge Analytics</t>
        </is>
      </c>
      <c r="F17" s="74" t="inlineStr">
        <is>
          <t>94.5%</t>
        </is>
      </c>
      <c r="G17" s="74" t="inlineStr">
        <is>
          <t>Tier 1</t>
        </is>
      </c>
      <c r="H17" s="74" t="inlineStr">
        <is>
          <t>STRONG_EVIDENCE</t>
        </is>
      </c>
      <c r="I17" s="74" t="inlineStr">
        <is>
          <t>https://www.u-tokyo.ac.jp/focus/en/people/k0001n7238.html</t>
        </is>
      </c>
      <c r="J17" s="74" t="inlineStr">
        <is>
          <t>2026-09-15</t>
        </is>
      </c>
    </row>
    <row r="18">
      <c r="A18" s="71" t="inlineStr">
        <is>
          <t>Japan</t>
        </is>
      </c>
      <c r="B18" s="72" t="inlineStr">
        <is>
          <t>Tokyo Metropolitan University / Keio University</t>
        </is>
      </c>
      <c r="C18" s="71" t="inlineStr">
        <is>
          <t>Prof. Masaki Aida</t>
        </is>
      </c>
      <c r="D18" s="72" t="inlineStr">
        <is>
          <t>Department of Computer Science</t>
        </is>
      </c>
      <c r="E18" s="72" t="inlineStr">
        <is>
          <t>Autonomous Decentralized Systems, Complex Networks, Edge Resource Allocation</t>
        </is>
      </c>
      <c r="F18" s="72" t="inlineStr">
        <is>
          <t>92.0%</t>
        </is>
      </c>
      <c r="G18" s="72" t="inlineStr">
        <is>
          <t>Tier 2</t>
        </is>
      </c>
      <c r="H18" s="72" t="inlineStr">
        <is>
          <t>STRONG_EVIDENCE</t>
        </is>
      </c>
      <c r="I18" s="72" t="inlineStr">
        <is>
          <t>https://www.comp.tmu.ac.jp/aida-lab/index-e.html</t>
        </is>
      </c>
      <c r="J18" s="72" t="inlineStr">
        <is>
          <t>2026-09-15</t>
        </is>
      </c>
    </row>
    <row r="19">
      <c r="A19" s="73" t="inlineStr">
        <is>
          <t>Japan</t>
        </is>
      </c>
      <c r="B19" s="74" t="inlineStr">
        <is>
          <t>Keio University</t>
        </is>
      </c>
      <c r="C19" s="73" t="inlineStr">
        <is>
          <t>Prof. Fumio Teraoka</t>
        </is>
      </c>
      <c r="D19" s="74" t="inlineStr">
        <is>
          <t>Department of Information and Computer Science</t>
        </is>
      </c>
      <c r="E19" s="74" t="inlineStr">
        <is>
          <t>Information-Centric Networking (ICN), Mobile IPv6, Edge Network Architectures</t>
        </is>
      </c>
      <c r="F19" s="74" t="inlineStr">
        <is>
          <t>93.0%</t>
        </is>
      </c>
      <c r="G19" s="74" t="inlineStr">
        <is>
          <t>Tier 2</t>
        </is>
      </c>
      <c r="H19" s="74" t="inlineStr">
        <is>
          <t>POSSIBLE</t>
        </is>
      </c>
      <c r="I19" s="74" t="inlineStr">
        <is>
          <t>https://www.teraoka.ics.keio.ac.jp/</t>
        </is>
      </c>
      <c r="J19" s="74" t="inlineStr">
        <is>
          <t>2026-09-15</t>
        </is>
      </c>
    </row>
    <row r="20">
      <c r="A20" s="71" t="inlineStr">
        <is>
          <t>Japan</t>
        </is>
      </c>
      <c r="B20" s="72" t="inlineStr">
        <is>
          <t>Keio University</t>
        </is>
      </c>
      <c r="C20" s="71" t="inlineStr">
        <is>
          <t>Prof. Hideyuki Kawashima</t>
        </is>
      </c>
      <c r="D20" s="72" t="inlineStr">
        <is>
          <t>Faculty of Environment and Information Studies</t>
        </is>
      </c>
      <c r="E20" s="72" t="inlineStr">
        <is>
          <t>Distributed Stream Processing, Real-Time Edge Data Systems, High-Throughput In-Memory Databases</t>
        </is>
      </c>
      <c r="F20" s="72" t="inlineStr">
        <is>
          <t>95.0%</t>
        </is>
      </c>
      <c r="G20" s="72" t="inlineStr">
        <is>
          <t>Tier 1</t>
        </is>
      </c>
      <c r="H20" s="72" t="inlineStr">
        <is>
          <t>STRONG_EVIDENCE</t>
        </is>
      </c>
      <c r="I20" s="72" t="inlineStr">
        <is>
          <t>https://k-ris.keio.ac.jp/html/100014285_en.html</t>
        </is>
      </c>
      <c r="J20" s="72" t="inlineStr">
        <is>
          <t>2026-09-15</t>
        </is>
      </c>
    </row>
    <row r="21">
      <c r="A21" s="73" t="inlineStr">
        <is>
          <t>Germany</t>
        </is>
      </c>
      <c r="B21" s="74" t="inlineStr">
        <is>
          <t>Technical University of Munich (TUM)</t>
        </is>
      </c>
      <c r="C21" s="73" t="inlineStr">
        <is>
          <t>Prof. Jörg Ott</t>
        </is>
      </c>
      <c r="D21" s="74" t="inlineStr">
        <is>
          <t>TUM School of Computation, Information and Technology (CIT)</t>
        </is>
      </c>
      <c r="E21" s="74" t="inlineStr">
        <is>
          <t>Connected Mobility, Edge Computing for Automotive Systems, Delay-Tolerant Networking (DTN)</t>
        </is>
      </c>
      <c r="F21" s="74" t="inlineStr">
        <is>
          <t>98.0%</t>
        </is>
      </c>
      <c r="G21" s="74" t="inlineStr">
        <is>
          <t>Tier 1</t>
        </is>
      </c>
      <c r="H21" s="74" t="inlineStr">
        <is>
          <t>CONFIRMED_ACTIVE</t>
        </is>
      </c>
      <c r="I21" s="74" t="inlineStr">
        <is>
          <t>https://www.cm.in.tum.de/en/team/ott/</t>
        </is>
      </c>
      <c r="J21" s="74" t="inlineStr">
        <is>
          <t>2026-09-15</t>
        </is>
      </c>
    </row>
    <row r="22">
      <c r="A22" s="71" t="inlineStr">
        <is>
          <t>Germany</t>
        </is>
      </c>
      <c r="B22" s="72" t="inlineStr">
        <is>
          <t>Technical University of Berlin (TU Berlin)</t>
        </is>
      </c>
      <c r="C22" s="71" t="inlineStr">
        <is>
          <t>Prof. David Bermbach</t>
        </is>
      </c>
      <c r="D22" s="72" t="inlineStr">
        <is>
          <t>Faculty of Electrical Engineering and Computer Science</t>
        </is>
      </c>
      <c r="E22" s="72" t="inlineStr">
        <is>
          <t>Edge Computing, Serverless Edge, Fog Robotics</t>
        </is>
      </c>
      <c r="F22" s="72" t="inlineStr">
        <is>
          <t>98.5%</t>
        </is>
      </c>
      <c r="G22" s="72" t="inlineStr">
        <is>
          <t>Tier 1</t>
        </is>
      </c>
      <c r="H22" s="72" t="inlineStr">
        <is>
          <t>CONFIRMED_ACTIVE</t>
        </is>
      </c>
      <c r="I22" s="72" t="inlineStr">
        <is>
          <t>https://www.mcc.tu-berlin.de/menue/team/david_bermbach/</t>
        </is>
      </c>
      <c r="J22" s="72" t="inlineStr">
        <is>
          <t>2026-09-15</t>
        </is>
      </c>
    </row>
    <row r="23">
      <c r="A23" s="73" t="inlineStr">
        <is>
          <t>Germany</t>
        </is>
      </c>
      <c r="B23" s="74" t="inlineStr">
        <is>
          <t>Technical University of Munich (TUM)</t>
        </is>
      </c>
      <c r="C23" s="73" t="inlineStr">
        <is>
          <t>Prof. Michael Gerndt</t>
        </is>
      </c>
      <c r="D23" s="74" t="inlineStr">
        <is>
          <t>TUM School of Computation, Information and Technology (CIT)</t>
        </is>
      </c>
      <c r="E23" s="74" t="inlineStr">
        <is>
          <t>Cloud-Edge Orchestration, Autonomous Performance Tuning, Serverless Systems</t>
        </is>
      </c>
      <c r="F23" s="74" t="inlineStr">
        <is>
          <t>96.0%</t>
        </is>
      </c>
      <c r="G23" s="74" t="inlineStr">
        <is>
          <t>Tier 1</t>
        </is>
      </c>
      <c r="H23" s="74" t="inlineStr">
        <is>
          <t>CONFIRMED_ACTIVE</t>
        </is>
      </c>
      <c r="I23" s="74" t="inlineStr">
        <is>
          <t>https://www.caps.in.tum.de/en/team/gerndt/</t>
        </is>
      </c>
      <c r="J23" s="74" t="inlineStr">
        <is>
          <t>2026-09-15</t>
        </is>
      </c>
    </row>
    <row r="24">
      <c r="A24" s="71" t="inlineStr">
        <is>
          <t>Germany</t>
        </is>
      </c>
      <c r="B24" s="72" t="inlineStr">
        <is>
          <t>RWTH Aachen University</t>
        </is>
      </c>
      <c r="C24" s="71" t="inlineStr">
        <is>
          <t>Prof. Klaus Wehrle</t>
        </is>
      </c>
      <c r="D24" s="72" t="inlineStr">
        <is>
          <t>Department of Computer Science</t>
        </is>
      </c>
      <c r="E24" s="72" t="inlineStr">
        <is>
          <t>Communication and Distributed Systems, In-Network Computing, Network Programmability (P4)</t>
        </is>
      </c>
      <c r="F24" s="72" t="inlineStr">
        <is>
          <t>97.0%</t>
        </is>
      </c>
      <c r="G24" s="72" t="inlineStr">
        <is>
          <t>Tier 1</t>
        </is>
      </c>
      <c r="H24" s="72" t="inlineStr">
        <is>
          <t>CONFIRMED_ACTIVE</t>
        </is>
      </c>
      <c r="I24" s="72" t="inlineStr">
        <is>
          <t>https://www.comsys.rwth-aachen.de/team/klaus-wehrle/</t>
        </is>
      </c>
      <c r="J24" s="72" t="inlineStr">
        <is>
          <t>2026-09-15</t>
        </is>
      </c>
    </row>
    <row r="25">
      <c r="A25" s="73" t="inlineStr">
        <is>
          <t>Germany</t>
        </is>
      </c>
      <c r="B25" s="74" t="inlineStr">
        <is>
          <t>Karlsruhe Institute of Technology (KIT) / TU Dresden</t>
        </is>
      </c>
      <c r="C25" s="73" t="inlineStr">
        <is>
          <t>Prof. Thorsten Strufe</t>
        </is>
      </c>
      <c r="D25" s="74" t="inlineStr">
        <is>
          <t>KIT Department of Informatics</t>
        </is>
      </c>
      <c r="E25" s="74" t="inlineStr">
        <is>
          <t>Decentralized Edge Systems, Privacy-Enhancing Technologies, Network Anonymity</t>
        </is>
      </c>
      <c r="F25" s="74" t="inlineStr">
        <is>
          <t>95.0%</t>
        </is>
      </c>
      <c r="G25" s="74" t="inlineStr">
        <is>
          <t>Tier 1</t>
        </is>
      </c>
      <c r="H25" s="74" t="inlineStr">
        <is>
          <t>CONFIRMED_ACTIVE</t>
        </is>
      </c>
      <c r="I25" s="74" t="inlineStr">
        <is>
          <t>https://ps.inf.kit.edu/people/strufe/</t>
        </is>
      </c>
      <c r="J25" s="74" t="inlineStr">
        <is>
          <t>2026-09-15</t>
        </is>
      </c>
    </row>
    <row r="26">
      <c r="A26" s="71" t="inlineStr">
        <is>
          <t>Germany</t>
        </is>
      </c>
      <c r="B26" s="72" t="inlineStr">
        <is>
          <t>TU Dresden</t>
        </is>
      </c>
      <c r="C26" s="71" t="inlineStr">
        <is>
          <t>Prof. Christof Fetzer</t>
        </is>
      </c>
      <c r="D26" s="72" t="inlineStr">
        <is>
          <t>Faculty of Computer Science</t>
        </is>
      </c>
      <c r="E26" s="72" t="inlineStr">
        <is>
          <t>Dependable Systems, Confidential Computing at Edge, Hardware Security Enclaves (SGX/SEV)</t>
        </is>
      </c>
      <c r="F26" s="72" t="inlineStr">
        <is>
          <t>97.5%</t>
        </is>
      </c>
      <c r="G26" s="72" t="inlineStr">
        <is>
          <t>Tier 1</t>
        </is>
      </c>
      <c r="H26" s="72" t="inlineStr">
        <is>
          <t>CONFIRMED_ACTIVE</t>
        </is>
      </c>
      <c r="I26" s="72" t="inlineStr">
        <is>
          <t>https://tu-dresden.de/ing/informatik/syt/die-professur/inhaber</t>
        </is>
      </c>
      <c r="J26" s="72" t="inlineStr">
        <is>
          <t>2026-09-15</t>
        </is>
      </c>
    </row>
    <row r="27">
      <c r="A27" s="73" t="inlineStr">
        <is>
          <t>Germany</t>
        </is>
      </c>
      <c r="B27" s="74" t="inlineStr">
        <is>
          <t>TU Dresden</t>
        </is>
      </c>
      <c r="C27" s="73" t="inlineStr">
        <is>
          <t>Prof. Frank H. P. Fitzek</t>
        </is>
      </c>
      <c r="D27" s="74" t="inlineStr">
        <is>
          <t>Faculty of Electrical and Computer Engineering</t>
        </is>
      </c>
      <c r="E27" s="74" t="inlineStr">
        <is>
          <t>Tactile Internet, 5G/6G Networks, Network Coding for Edge Systems</t>
        </is>
      </c>
      <c r="F27" s="74" t="inlineStr">
        <is>
          <t>97.0%</t>
        </is>
      </c>
      <c r="G27" s="74" t="inlineStr">
        <is>
          <t>Tier 1</t>
        </is>
      </c>
      <c r="H27" s="74" t="inlineStr">
        <is>
          <t>CONFIRMED_ACTIVE</t>
        </is>
      </c>
      <c r="I27" s="74" t="inlineStr">
        <is>
          <t>https://tu-dresden.de/ing/elektrotechnik/ifn/tkn/die-professur/inhaber</t>
        </is>
      </c>
      <c r="J27" s="74" t="inlineStr">
        <is>
          <t>2026-09-15</t>
        </is>
      </c>
    </row>
    <row r="28">
      <c r="A28" s="71" t="inlineStr">
        <is>
          <t>Germany</t>
        </is>
      </c>
      <c r="B28" s="72" t="inlineStr">
        <is>
          <t>Technical University of Munich (TUM)</t>
        </is>
      </c>
      <c r="C28" s="71" t="inlineStr">
        <is>
          <t>Prof. Marco Caccamo</t>
        </is>
      </c>
      <c r="D28" s="72" t="inlineStr">
        <is>
          <t>TUM School of Engineering and Design</t>
        </is>
      </c>
      <c r="E28" s="72" t="inlineStr">
        <is>
          <t>Safety-Critical Edge Systems, Real-Time Computing, Cyber-Physical Systems</t>
        </is>
      </c>
      <c r="F28" s="72" t="inlineStr">
        <is>
          <t>96.5%</t>
        </is>
      </c>
      <c r="G28" s="72" t="inlineStr">
        <is>
          <t>Tier 1</t>
        </is>
      </c>
      <c r="H28" s="72" t="inlineStr">
        <is>
          <t>CONFIRMED_ACTIVE</t>
        </is>
      </c>
      <c r="I28" s="72" t="inlineStr">
        <is>
          <t>https://www.mec.ed.tum.de/en/cps/people/prof-dr-marco-caccamo/</t>
        </is>
      </c>
      <c r="J28" s="72" t="inlineStr">
        <is>
          <t>2026-09-15</t>
        </is>
      </c>
    </row>
    <row r="29">
      <c r="A29" s="73" t="inlineStr">
        <is>
          <t>United States</t>
        </is>
      </c>
      <c r="B29" s="74" t="inlineStr">
        <is>
          <t>Carnegie Mellon University</t>
        </is>
      </c>
      <c r="C29" s="73" t="inlineStr">
        <is>
          <t>Prof. Mahadev Satyanarayanan (Satya)</t>
        </is>
      </c>
      <c r="D29" s="74" t="inlineStr">
        <is>
          <t>Computer Science Department (CSD)</t>
        </is>
      </c>
      <c r="E29" s="74" t="inlineStr">
        <is>
          <t>Edge Computing, Cloudlets, Wearable Cognitive Assistance</t>
        </is>
      </c>
      <c r="F29" s="74" t="inlineStr">
        <is>
          <t>99.0%</t>
        </is>
      </c>
      <c r="G29" s="74" t="inlineStr">
        <is>
          <t>Tier 1</t>
        </is>
      </c>
      <c r="H29" s="74" t="inlineStr">
        <is>
          <t>CONFIRMED_ACTIVE</t>
        </is>
      </c>
      <c r="I29" s="74" t="inlineStr">
        <is>
          <t>https://www.cs.cmu.edu/~satya/</t>
        </is>
      </c>
      <c r="J29" s="74" t="inlineStr">
        <is>
          <t>2026-09-15</t>
        </is>
      </c>
    </row>
    <row r="30">
      <c r="A30" s="71" t="inlineStr">
        <is>
          <t>United States</t>
        </is>
      </c>
      <c r="B30" s="72" t="inlineStr">
        <is>
          <t>University of California, Berkeley</t>
        </is>
      </c>
      <c r="C30" s="71" t="inlineStr">
        <is>
          <t>Prof. Ion Stoica</t>
        </is>
      </c>
      <c r="D30" s="72" t="inlineStr">
        <is>
          <t>Department of Electrical Engineering and Computer Sciences (EECS)</t>
        </is>
      </c>
      <c r="E30" s="72" t="inlineStr">
        <is>
          <t>Cloud-Edge Computing, Distributed AI Systems, Sky Computing</t>
        </is>
      </c>
      <c r="F30" s="72" t="inlineStr">
        <is>
          <t>98.5%</t>
        </is>
      </c>
      <c r="G30" s="72" t="inlineStr">
        <is>
          <t>Tier 1</t>
        </is>
      </c>
      <c r="H30" s="72" t="inlineStr">
        <is>
          <t>CONFIRMED_ACTIVE</t>
        </is>
      </c>
      <c r="I30" s="72" t="inlineStr">
        <is>
          <t>https://people.eecs.berkeley.edu/~istoica/</t>
        </is>
      </c>
      <c r="J30" s="72" t="inlineStr">
        <is>
          <t>2026-09-15</t>
        </is>
      </c>
    </row>
    <row r="31">
      <c r="A31" s="73" t="inlineStr">
        <is>
          <t>United States</t>
        </is>
      </c>
      <c r="B31" s="74" t="inlineStr">
        <is>
          <t>Purdue University / Princeton University</t>
        </is>
      </c>
      <c r="C31" s="73" t="inlineStr">
        <is>
          <t>Prof. Mung Chiang</t>
        </is>
      </c>
      <c r="D31" s="74" t="inlineStr">
        <is>
          <t>Elmore Family School of Electrical and Computer Engineering</t>
        </is>
      </c>
      <c r="E31" s="74" t="inlineStr">
        <is>
          <t>Fog Computing, Edge Network Economics, Network Utility Maximization</t>
        </is>
      </c>
      <c r="F31" s="74" t="inlineStr">
        <is>
          <t>97.0%</t>
        </is>
      </c>
      <c r="G31" s="74" t="inlineStr">
        <is>
          <t>Tier 1</t>
        </is>
      </c>
      <c r="H31" s="74" t="inlineStr">
        <is>
          <t>STRONG_EVIDENCE</t>
        </is>
      </c>
      <c r="I31" s="74" t="inlineStr">
        <is>
          <t>https://www.purdue.edu/president/about/biography.php</t>
        </is>
      </c>
      <c r="J31" s="74" t="inlineStr">
        <is>
          <t>2026-09-15</t>
        </is>
      </c>
    </row>
    <row r="32">
      <c r="A32" s="71" t="inlineStr">
        <is>
          <t>United States</t>
        </is>
      </c>
      <c r="B32" s="72" t="inlineStr">
        <is>
          <t>University of California, Berkeley</t>
        </is>
      </c>
      <c r="C32" s="71" t="inlineStr">
        <is>
          <t>Prof. Joseph E. Gonzalez</t>
        </is>
      </c>
      <c r="D32" s="72" t="inlineStr">
        <is>
          <t>Department of Electrical Engineering and Computer Sciences (EECS)</t>
        </is>
      </c>
      <c r="E32" s="72" t="inlineStr">
        <is>
          <t>Systems for Machine Learning, Edge AI Inference, Large Language Model Serving (vLLM)</t>
        </is>
      </c>
      <c r="F32" s="72" t="inlineStr">
        <is>
          <t>98.0%</t>
        </is>
      </c>
      <c r="G32" s="72" t="inlineStr">
        <is>
          <t>Tier 1</t>
        </is>
      </c>
      <c r="H32" s="72" t="inlineStr">
        <is>
          <t>CONFIRMED_ACTIVE</t>
        </is>
      </c>
      <c r="I32" s="72" t="inlineStr">
        <is>
          <t>https://people.eecs.berkeley.edu/~jegonzal/</t>
        </is>
      </c>
      <c r="J32" s="72" t="inlineStr">
        <is>
          <t>2026-09-15</t>
        </is>
      </c>
    </row>
    <row r="33">
      <c r="A33" s="73" t="inlineStr">
        <is>
          <t>United States</t>
        </is>
      </c>
      <c r="B33" s="74" t="inlineStr">
        <is>
          <t>University of Texas at Austin</t>
        </is>
      </c>
      <c r="C33" s="73" t="inlineStr">
        <is>
          <t>Prof. Sanjay Shakkottai</t>
        </is>
      </c>
      <c r="D33" s="74" t="inlineStr">
        <is>
          <t>Department of Electrical and Computer Engineering (ECE)</t>
        </is>
      </c>
      <c r="E33" s="74" t="inlineStr">
        <is>
          <t>Edge Federated Learning, Wireless Networks, Edge Resource Allocation</t>
        </is>
      </c>
      <c r="F33" s="74" t="inlineStr">
        <is>
          <t>97.0%</t>
        </is>
      </c>
      <c r="G33" s="74" t="inlineStr">
        <is>
          <t>Tier 1</t>
        </is>
      </c>
      <c r="H33" s="74" t="inlineStr">
        <is>
          <t>CONFIRMED_ACTIVE</t>
        </is>
      </c>
      <c r="I33" s="74" t="inlineStr">
        <is>
          <t>https://www.ece.utexas.edu/people/faculty/sanjay-shakkottai</t>
        </is>
      </c>
      <c r="J33" s="74" t="inlineStr">
        <is>
          <t>2026-09-15</t>
        </is>
      </c>
    </row>
    <row r="34">
      <c r="A34" s="71" t="inlineStr">
        <is>
          <t>United States</t>
        </is>
      </c>
      <c r="B34" s="72" t="inlineStr">
        <is>
          <t>University of Illinois Urbana-Champaign</t>
        </is>
      </c>
      <c r="C34" s="71" t="inlineStr">
        <is>
          <t>Prof. Klara Nahrstedt</t>
        </is>
      </c>
      <c r="D34" s="72" t="inlineStr">
        <is>
          <t>Siebel School of Computing and Data Science</t>
        </is>
      </c>
      <c r="E34" s="72" t="inlineStr">
        <is>
          <t>Edge Video Analytics, Mobile Multimedia Systems, Internet of Things</t>
        </is>
      </c>
      <c r="F34" s="72" t="inlineStr">
        <is>
          <t>96.5%</t>
        </is>
      </c>
      <c r="G34" s="72" t="inlineStr">
        <is>
          <t>Tier 1</t>
        </is>
      </c>
      <c r="H34" s="72" t="inlineStr">
        <is>
          <t>CONFIRMED_ACTIVE</t>
        </is>
      </c>
      <c r="I34" s="72" t="inlineStr">
        <is>
          <t>https://cs.illinois.edu/about/people/department-faculty/klara</t>
        </is>
      </c>
      <c r="J34" s="72" t="inlineStr">
        <is>
          <t>2026-09-15</t>
        </is>
      </c>
    </row>
    <row r="35">
      <c r="A35" s="73" t="inlineStr">
        <is>
          <t>United States</t>
        </is>
      </c>
      <c r="B35" s="74" t="inlineStr">
        <is>
          <t>University of Illinois Urbana-Champaign</t>
        </is>
      </c>
      <c r="C35" s="73" t="inlineStr">
        <is>
          <t>Prof. Tarek Abdelzaher</t>
        </is>
      </c>
      <c r="D35" s="74" t="inlineStr">
        <is>
          <t>Siebel School of Computing and Data Science</t>
        </is>
      </c>
      <c r="E35" s="74" t="inlineStr">
        <is>
          <t>Cyber-Physical Systems, Real-Time Edge AI, Internet of Things</t>
        </is>
      </c>
      <c r="F35" s="74" t="inlineStr">
        <is>
          <t>97.0%</t>
        </is>
      </c>
      <c r="G35" s="74" t="inlineStr">
        <is>
          <t>Tier 1</t>
        </is>
      </c>
      <c r="H35" s="74" t="inlineStr">
        <is>
          <t>CONFIRMED_ACTIVE</t>
        </is>
      </c>
      <c r="I35" s="74" t="inlineStr">
        <is>
          <t>https://cs.illinois.edu/about/people/department-faculty/zaher</t>
        </is>
      </c>
      <c r="J35" s="74" t="inlineStr">
        <is>
          <t>2026-09-15</t>
        </is>
      </c>
    </row>
    <row r="36">
      <c r="A36" s="71" t="inlineStr">
        <is>
          <t>United States</t>
        </is>
      </c>
      <c r="B36" s="72" t="inlineStr">
        <is>
          <t>University of Illinois Urbana-Champaign</t>
        </is>
      </c>
      <c r="C36" s="71" t="inlineStr">
        <is>
          <t>Prof. Indranil Gupta</t>
        </is>
      </c>
      <c r="D36" s="72" t="inlineStr">
        <is>
          <t>Siebel School of Computing and Data Science</t>
        </is>
      </c>
      <c r="E36" s="72" t="inlineStr">
        <is>
          <t>Distributed Systems, Cloud-Edge Computing, Distributed Consensus</t>
        </is>
      </c>
      <c r="F36" s="72" t="inlineStr">
        <is>
          <t>97.5%</t>
        </is>
      </c>
      <c r="G36" s="72" t="inlineStr">
        <is>
          <t>Tier 1</t>
        </is>
      </c>
      <c r="H36" s="72" t="inlineStr">
        <is>
          <t>CONFIRMED_ACTIVE</t>
        </is>
      </c>
      <c r="I36" s="72" t="inlineStr">
        <is>
          <t>https://cs.illinois.edu/about/people/department-faculty/indy</t>
        </is>
      </c>
      <c r="J36" s="72" t="inlineStr">
        <is>
          <t>2026-09-15</t>
        </is>
      </c>
    </row>
    <row r="37">
      <c r="A37" s="73" t="inlineStr">
        <is>
          <t>Canada</t>
        </is>
      </c>
      <c r="B37" s="74" t="inlineStr">
        <is>
          <t>University of Waterloo</t>
        </is>
      </c>
      <c r="C37" s="73" t="inlineStr">
        <is>
          <t>Prof. Raouf Boutaba</t>
        </is>
      </c>
      <c r="D37" s="74" t="inlineStr">
        <is>
          <t>David R. Cheriton School of Computer Science</t>
        </is>
      </c>
      <c r="E37" s="74" t="inlineStr">
        <is>
          <t>Network Softwarization, 5G/6G Edge Computing, Network Slicing</t>
        </is>
      </c>
      <c r="F37" s="74" t="inlineStr">
        <is>
          <t>98.0%</t>
        </is>
      </c>
      <c r="G37" s="74" t="inlineStr">
        <is>
          <t>Tier 1</t>
        </is>
      </c>
      <c r="H37" s="74" t="inlineStr">
        <is>
          <t>CONFIRMED_ACTIVE</t>
        </is>
      </c>
      <c r="I37" s="74" t="inlineStr">
        <is>
          <t>https://cs.uwaterloo.ca/~rboutaba/</t>
        </is>
      </c>
      <c r="J37" s="74" t="inlineStr">
        <is>
          <t>2026-09-15</t>
        </is>
      </c>
    </row>
    <row r="38">
      <c r="A38" s="71" t="inlineStr">
        <is>
          <t>Canada</t>
        </is>
      </c>
      <c r="B38" s="72" t="inlineStr">
        <is>
          <t>University of Toronto</t>
        </is>
      </c>
      <c r="C38" s="71" t="inlineStr">
        <is>
          <t>Prof. Yashar Ganjali</t>
        </is>
      </c>
      <c r="D38" s="72" t="inlineStr">
        <is>
          <t>Department of Computer Science</t>
        </is>
      </c>
      <c r="E38" s="72" t="inlineStr">
        <is>
          <t>Software-Defined Networking, Edge Network Architectures, Programmable Data Planes</t>
        </is>
      </c>
      <c r="F38" s="72" t="inlineStr">
        <is>
          <t>96.0%</t>
        </is>
      </c>
      <c r="G38" s="72" t="inlineStr">
        <is>
          <t>Tier 1</t>
        </is>
      </c>
      <c r="H38" s="72" t="inlineStr">
        <is>
          <t>CONFIRMED_ACTIVE</t>
        </is>
      </c>
      <c r="I38" s="72" t="inlineStr">
        <is>
          <t>https://web.cs.toronto.edu/people/faculty-directory/yashar-ganjali</t>
        </is>
      </c>
      <c r="J38" s="72" t="inlineStr">
        <is>
          <t>2026-09-15</t>
        </is>
      </c>
    </row>
    <row r="39">
      <c r="A39" s="73" t="inlineStr">
        <is>
          <t>Canada</t>
        </is>
      </c>
      <c r="B39" s="74" t="inlineStr">
        <is>
          <t>University of Toronto</t>
        </is>
      </c>
      <c r="C39" s="73" t="inlineStr">
        <is>
          <t>Prof. Cristiana Amza</t>
        </is>
      </c>
      <c r="D39" s="74" t="inlineStr">
        <is>
          <t>The Edward S. Rogers Sr. Department of Electrical &amp; Computer Engineering</t>
        </is>
      </c>
      <c r="E39" s="74" t="inlineStr">
        <is>
          <t>Cloud-Edge Resource Management, Distributed Systems, Virtualization Runtimes</t>
        </is>
      </c>
      <c r="F39" s="74" t="inlineStr">
        <is>
          <t>96.5%</t>
        </is>
      </c>
      <c r="G39" s="74" t="inlineStr">
        <is>
          <t>Tier 1</t>
        </is>
      </c>
      <c r="H39" s="74" t="inlineStr">
        <is>
          <t>STRONG_EVIDENCE</t>
        </is>
      </c>
      <c r="I39" s="74" t="inlineStr">
        <is>
          <t>https://www.ece.utoronto.ca/people/faculty-directory/cristiana-amza/</t>
        </is>
      </c>
      <c r="J39" s="74" t="inlineStr">
        <is>
          <t>2026-09-15</t>
        </is>
      </c>
    </row>
    <row r="40">
      <c r="A40" s="71" t="inlineStr">
        <is>
          <t>Canada</t>
        </is>
      </c>
      <c r="B40" s="72" t="inlineStr">
        <is>
          <t>University of British Columbia</t>
        </is>
      </c>
      <c r="C40" s="71" t="inlineStr">
        <is>
          <t>Prof. Karthik Pattabiraman</t>
        </is>
      </c>
      <c r="D40" s="72" t="inlineStr">
        <is>
          <t>Department of Electrical and Computer Engineering</t>
        </is>
      </c>
      <c r="E40" s="72" t="inlineStr">
        <is>
          <t>Fault Tolerance in Edge Computing, IoT Security, Software Reliability</t>
        </is>
      </c>
      <c r="F40" s="72" t="inlineStr">
        <is>
          <t>96.0%</t>
        </is>
      </c>
      <c r="G40" s="72" t="inlineStr">
        <is>
          <t>Tier 1</t>
        </is>
      </c>
      <c r="H40" s="72" t="inlineStr">
        <is>
          <t>CONFIRMED_ACTIVE</t>
        </is>
      </c>
      <c r="I40" s="72" t="inlineStr">
        <is>
          <t>https://ece.ubc.ca/karthik-pattabiraman/</t>
        </is>
      </c>
      <c r="J40" s="72" t="inlineStr">
        <is>
          <t>2026-09-15</t>
        </is>
      </c>
    </row>
    <row r="41">
      <c r="A41" s="73" t="inlineStr">
        <is>
          <t>Canada</t>
        </is>
      </c>
      <c r="B41" s="74" t="inlineStr">
        <is>
          <t>University of Alberta</t>
        </is>
      </c>
      <c r="C41" s="73" t="inlineStr">
        <is>
          <t>Prof. Di Niu</t>
        </is>
      </c>
      <c r="D41" s="74" t="inlineStr">
        <is>
          <t>Department of Computing Science / Department of ECE</t>
        </is>
      </c>
      <c r="E41" s="74" t="inlineStr">
        <is>
          <t>Distributed Machine Learning, Edge AI Inference, Federated Learning</t>
        </is>
      </c>
      <c r="F41" s="74" t="inlineStr">
        <is>
          <t>97.0%</t>
        </is>
      </c>
      <c r="G41" s="74" t="inlineStr">
        <is>
          <t>Tier 1</t>
        </is>
      </c>
      <c r="H41" s="74" t="inlineStr">
        <is>
          <t>CONFIRMED_ACTIVE</t>
        </is>
      </c>
      <c r="I41" s="74" t="inlineStr">
        <is>
          <t>https://apps.ualberta.ca/directory/person/dniu</t>
        </is>
      </c>
      <c r="J41" s="74" t="inlineStr">
        <is>
          <t>2026-09-15</t>
        </is>
      </c>
    </row>
    <row r="42">
      <c r="A42" s="71" t="inlineStr">
        <is>
          <t>Canada</t>
        </is>
      </c>
      <c r="B42" s="72" t="inlineStr">
        <is>
          <t>Simon Fraser University</t>
        </is>
      </c>
      <c r="C42" s="71" t="inlineStr">
        <is>
          <t>Prof. Jiangchuan Liu</t>
        </is>
      </c>
      <c r="D42" s="72" t="inlineStr">
        <is>
          <t>School of Computing Science</t>
        </is>
      </c>
      <c r="E42" s="72" t="inlineStr">
        <is>
          <t>Edge Video Analytics, Multimedia Systems, Pervasive Edge Computing</t>
        </is>
      </c>
      <c r="F42" s="72" t="inlineStr">
        <is>
          <t>97.0%</t>
        </is>
      </c>
      <c r="G42" s="72" t="inlineStr">
        <is>
          <t>Tier 1</t>
        </is>
      </c>
      <c r="H42" s="72" t="inlineStr">
        <is>
          <t>CONFIRMED_ACTIVE</t>
        </is>
      </c>
      <c r="I42" s="72" t="inlineStr">
        <is>
          <t>https://www.sfu.ca/computing/people/faculty/jcliu.html</t>
        </is>
      </c>
      <c r="J42" s="72" t="inlineStr">
        <is>
          <t>2026-09-15</t>
        </is>
      </c>
    </row>
    <row r="43">
      <c r="A43" s="73" t="inlineStr">
        <is>
          <t>Canada</t>
        </is>
      </c>
      <c r="B43" s="74" t="inlineStr">
        <is>
          <t>McGill University</t>
        </is>
      </c>
      <c r="C43" s="73" t="inlineStr">
        <is>
          <t>Prof. Muthucumaru Maheswaran</t>
        </is>
      </c>
      <c r="D43" s="74" t="inlineStr">
        <is>
          <t>School of Computer Science</t>
        </is>
      </c>
      <c r="E43" s="74" t="inlineStr">
        <is>
          <t>Distributed Systems, Cloud-Edge Computing, Decentralized Trust &amp; Identity</t>
        </is>
      </c>
      <c r="F43" s="74" t="inlineStr">
        <is>
          <t>93.5%</t>
        </is>
      </c>
      <c r="G43" s="74" t="inlineStr">
        <is>
          <t>Tier 2</t>
        </is>
      </c>
      <c r="H43" s="74" t="inlineStr">
        <is>
          <t>STRONG_EVIDENCE</t>
        </is>
      </c>
      <c r="I43" s="74" t="inlineStr">
        <is>
          <t>https://www.cs.mcgill.ca/~maheswar/</t>
        </is>
      </c>
      <c r="J43" s="74" t="inlineStr">
        <is>
          <t>2026-09-15</t>
        </is>
      </c>
    </row>
    <row r="44">
      <c r="A44" s="71" t="inlineStr">
        <is>
          <t>Canada</t>
        </is>
      </c>
      <c r="B44" s="72" t="inlineStr">
        <is>
          <t>University of British Columbia</t>
        </is>
      </c>
      <c r="C44" s="71" t="inlineStr">
        <is>
          <t>Prof. Sathish Gopalakrishnan</t>
        </is>
      </c>
      <c r="D44" s="72" t="inlineStr">
        <is>
          <t>Department of Electrical and Computer Engineering</t>
        </is>
      </c>
      <c r="E44" s="72" t="inlineStr">
        <is>
          <t>Real-Time Systems, Cyber-Physical Edge Computing, Embedded Systems</t>
        </is>
      </c>
      <c r="F44" s="72" t="inlineStr">
        <is>
          <t>96.0%</t>
        </is>
      </c>
      <c r="G44" s="72" t="inlineStr">
        <is>
          <t>Tier 1</t>
        </is>
      </c>
      <c r="H44" s="72" t="inlineStr">
        <is>
          <t>STRONG_EVIDENCE</t>
        </is>
      </c>
      <c r="I44" s="72" t="inlineStr">
        <is>
          <t>https://ece.ubc.ca/sathish-gopalakrishnan/</t>
        </is>
      </c>
      <c r="J44" s="72" t="inlineStr">
        <is>
          <t>2026-09-15</t>
        </is>
      </c>
    </row>
    <row r="45">
      <c r="A45" s="73" t="inlineStr">
        <is>
          <t>Sweden</t>
        </is>
      </c>
      <c r="B45" s="74" t="inlineStr">
        <is>
          <t>KTH Royal Institute of Technology</t>
        </is>
      </c>
      <c r="C45" s="73" t="inlineStr">
        <is>
          <t>Prof. Gerald Q. Maguire Jr.</t>
        </is>
      </c>
      <c r="D45" s="74" t="inlineStr">
        <is>
          <t>School of Electrical Engineering and Computer Science (EECS)</t>
        </is>
      </c>
      <c r="E45" s="74" t="inlineStr">
        <is>
          <t>Mobile Edge Computing, Internet of Things, Wireless Communication Systems</t>
        </is>
      </c>
      <c r="F45" s="74" t="inlineStr">
        <is>
          <t>97.0%</t>
        </is>
      </c>
      <c r="G45" s="74" t="inlineStr">
        <is>
          <t>Tier 1</t>
        </is>
      </c>
      <c r="H45" s="74" t="inlineStr">
        <is>
          <t>CONFIRMED_ACTIVE</t>
        </is>
      </c>
      <c r="I45" s="74" t="inlineStr">
        <is>
          <t>https://www.kth.se/profile/maguire</t>
        </is>
      </c>
      <c r="J45" s="74" t="inlineStr">
        <is>
          <t>2026-09-15</t>
        </is>
      </c>
    </row>
    <row r="46">
      <c r="A46" s="71" t="inlineStr">
        <is>
          <t>Sweden</t>
        </is>
      </c>
      <c r="B46" s="72" t="inlineStr">
        <is>
          <t>KTH Royal Institute of Technology</t>
        </is>
      </c>
      <c r="C46" s="71" t="inlineStr">
        <is>
          <t>Prof. Seif Haridi</t>
        </is>
      </c>
      <c r="D46" s="72" t="inlineStr">
        <is>
          <t>School of Electrical Engineering and Computer Science (EECS)</t>
        </is>
      </c>
      <c r="E46" s="72" t="inlineStr">
        <is>
          <t>Decentralized Edge Systems, Scale-Out Distributed Computing, Edge Machine Learning</t>
        </is>
      </c>
      <c r="F46" s="72" t="inlineStr">
        <is>
          <t>98.0%</t>
        </is>
      </c>
      <c r="G46" s="72" t="inlineStr">
        <is>
          <t>Tier 1</t>
        </is>
      </c>
      <c r="H46" s="72" t="inlineStr">
        <is>
          <t>CONFIRMED_ACTIVE</t>
        </is>
      </c>
      <c r="I46" s="72" t="inlineStr">
        <is>
          <t>https://www.kth.se/profile/haridi</t>
        </is>
      </c>
      <c r="J46" s="72" t="inlineStr">
        <is>
          <t>2026-09-15</t>
        </is>
      </c>
    </row>
    <row r="47">
      <c r="A47" s="73" t="inlineStr">
        <is>
          <t>Sweden</t>
        </is>
      </c>
      <c r="B47" s="74" t="inlineStr">
        <is>
          <t>KTH Royal Institute of Technology</t>
        </is>
      </c>
      <c r="C47" s="73" t="inlineStr">
        <is>
          <t>Prof. James Gross</t>
        </is>
      </c>
      <c r="D47" s="74" t="inlineStr">
        <is>
          <t>School of Electrical Engineering and Computer Science (EECS)</t>
        </is>
      </c>
      <c r="E47" s="74" t="inlineStr">
        <is>
          <t>Ultra-Reliable Low-Latency Communication (URLLC), Edge Computing for Cyber-Physical Systems, 6G Wireless Networks</t>
        </is>
      </c>
      <c r="F47" s="74" t="inlineStr">
        <is>
          <t>97.5%</t>
        </is>
      </c>
      <c r="G47" s="74" t="inlineStr">
        <is>
          <t>Tier 1</t>
        </is>
      </c>
      <c r="H47" s="74" t="inlineStr">
        <is>
          <t>CONFIRMED_ACTIVE</t>
        </is>
      </c>
      <c r="I47" s="74" t="inlineStr">
        <is>
          <t>https://www.kth.se/profile/jamesgr</t>
        </is>
      </c>
      <c r="J47" s="74" t="inlineStr">
        <is>
          <t>2026-09-15</t>
        </is>
      </c>
    </row>
    <row r="48">
      <c r="A48" s="71" t="inlineStr">
        <is>
          <t>Sweden</t>
        </is>
      </c>
      <c r="B48" s="72" t="inlineStr">
        <is>
          <t>KTH Royal Institute of Technology</t>
        </is>
      </c>
      <c r="C48" s="71" t="inlineStr">
        <is>
          <t>Prof. Sarunas Girdzijauskas</t>
        </is>
      </c>
      <c r="D48" s="72" t="inlineStr">
        <is>
          <t>School of Electrical Engineering and Computer Science (EECS)</t>
        </is>
      </c>
      <c r="E48" s="72" t="inlineStr">
        <is>
          <t>Decentralized Machine Learning, Federated Learning at Edge, Peer-to-Peer Networks</t>
        </is>
      </c>
      <c r="F48" s="72" t="inlineStr">
        <is>
          <t>97.0%</t>
        </is>
      </c>
      <c r="G48" s="72" t="inlineStr">
        <is>
          <t>Tier 1</t>
        </is>
      </c>
      <c r="H48" s="72" t="inlineStr">
        <is>
          <t>CONFIRMED_ACTIVE</t>
        </is>
      </c>
      <c r="I48" s="72" t="inlineStr">
        <is>
          <t>https://www.kth.se/profile/sarunasg</t>
        </is>
      </c>
      <c r="J48" s="72" t="inlineStr">
        <is>
          <t>2026-09-15</t>
        </is>
      </c>
    </row>
    <row r="49">
      <c r="A49" s="73" t="inlineStr">
        <is>
          <t>Sweden</t>
        </is>
      </c>
      <c r="B49" s="74" t="inlineStr">
        <is>
          <t>Lund University / Ericsson Research</t>
        </is>
      </c>
      <c r="C49" s="73" t="inlineStr">
        <is>
          <t>Prof. Johan Eker</t>
        </is>
      </c>
      <c r="D49" s="74" t="inlineStr">
        <is>
          <t>Department of Automatic Control / Department of Computer Science</t>
        </is>
      </c>
      <c r="E49" s="74" t="inlineStr">
        <is>
          <t>Cloud-Edge Automation, Real-Time Control Systems, Fog Computing</t>
        </is>
      </c>
      <c r="F49" s="74" t="inlineStr">
        <is>
          <t>96.0%</t>
        </is>
      </c>
      <c r="G49" s="74" t="inlineStr">
        <is>
          <t>Tier 1</t>
        </is>
      </c>
      <c r="H49" s="74" t="inlineStr">
        <is>
          <t>CONFIRMED_ACTIVE</t>
        </is>
      </c>
      <c r="I49" s="74" t="inlineStr">
        <is>
          <t>https://www.control.lth.se/staff/johan-eker/</t>
        </is>
      </c>
      <c r="J49" s="74" t="inlineStr">
        <is>
          <t>2026-09-15</t>
        </is>
      </c>
    </row>
    <row r="50">
      <c r="A50" s="71" t="inlineStr">
        <is>
          <t>Sweden</t>
        </is>
      </c>
      <c r="B50" s="72" t="inlineStr">
        <is>
          <t>Umeå University</t>
        </is>
      </c>
      <c r="C50" s="71" t="inlineStr">
        <is>
          <t>Prof. Erik Elmroth</t>
        </is>
      </c>
      <c r="D50" s="72" t="inlineStr">
        <is>
          <t>Department of Computing Science</t>
        </is>
      </c>
      <c r="E50" s="72" t="inlineStr">
        <is>
          <t>Autonomous Cloud-Edge Systems, Edge Cloud Orchestration, Serverless Edge</t>
        </is>
      </c>
      <c r="F50" s="72" t="inlineStr">
        <is>
          <t>98.0%</t>
        </is>
      </c>
      <c r="G50" s="72" t="inlineStr">
        <is>
          <t>Tier 1</t>
        </is>
      </c>
      <c r="H50" s="72" t="inlineStr">
        <is>
          <t>CONFIRMED_ACTIVE</t>
        </is>
      </c>
      <c r="I50" s="72" t="inlineStr">
        <is>
          <t>https://www.umu.se/en/staff/erik-elmroth/</t>
        </is>
      </c>
      <c r="J50" s="72" t="inlineStr">
        <is>
          <t>2026-09-15</t>
        </is>
      </c>
    </row>
    <row r="51">
      <c r="A51" s="73" t="inlineStr">
        <is>
          <t>Sweden</t>
        </is>
      </c>
      <c r="B51" s="74" t="inlineStr">
        <is>
          <t>Chalmers University of Technology</t>
        </is>
      </c>
      <c r="C51" s="73" t="inlineStr">
        <is>
          <t>Prof. Per Stenström</t>
        </is>
      </c>
      <c r="D51" s="74" t="inlineStr">
        <is>
          <t>Department of Computer Science and Engineering</t>
        </is>
      </c>
      <c r="E51" s="74" t="inlineStr">
        <is>
          <t>Computer Architecture, Memory Systems for Edge AI, Hardware Accelerators</t>
        </is>
      </c>
      <c r="F51" s="74" t="inlineStr">
        <is>
          <t>97.0%</t>
        </is>
      </c>
      <c r="G51" s="74" t="inlineStr">
        <is>
          <t>Tier 1</t>
        </is>
      </c>
      <c r="H51" s="74" t="inlineStr">
        <is>
          <t>CONFIRMED_ACTIVE</t>
        </is>
      </c>
      <c r="I51" s="74" t="inlineStr">
        <is>
          <t>https://www.chalmers.se/en/staff/pers/</t>
        </is>
      </c>
      <c r="J51" s="74" t="inlineStr">
        <is>
          <t>2026-09-15</t>
        </is>
      </c>
    </row>
    <row r="52">
      <c r="A52" s="71" t="inlineStr">
        <is>
          <t>Sweden</t>
        </is>
      </c>
      <c r="B52" s="72" t="inlineStr">
        <is>
          <t>Chalmers University of Technology</t>
        </is>
      </c>
      <c r="C52" s="71" t="inlineStr">
        <is>
          <t>Prof. Marina Papatriantafilou</t>
        </is>
      </c>
      <c r="D52" s="72" t="inlineStr">
        <is>
          <t>Department of Computer Science and Engineering</t>
        </is>
      </c>
      <c r="E52" s="72" t="inlineStr">
        <is>
          <t>Distributed Systems, Fault-Tolerant Edge Computing, Smart Grid Edge Analytics</t>
        </is>
      </c>
      <c r="F52" s="72" t="inlineStr">
        <is>
          <t>96.0%</t>
        </is>
      </c>
      <c r="G52" s="72" t="inlineStr">
        <is>
          <t>Tier 1</t>
        </is>
      </c>
      <c r="H52" s="72" t="inlineStr">
        <is>
          <t>CONFIRMED_ACTIVE</t>
        </is>
      </c>
      <c r="I52" s="72" t="inlineStr">
        <is>
          <t>https://www.chalmers.se/en/staff/ptrianta/</t>
        </is>
      </c>
      <c r="J52" s="72" t="inlineStr">
        <is>
          <t>2026-09-15</t>
        </is>
      </c>
    </row>
    <row r="53">
      <c r="A53" s="73" t="inlineStr">
        <is>
          <t>Sweden</t>
        </is>
      </c>
      <c r="B53" s="74" t="inlineStr">
        <is>
          <t>Uppsala University</t>
        </is>
      </c>
      <c r="C53" s="73" t="inlineStr">
        <is>
          <t>Prof. Christian Rohner</t>
        </is>
      </c>
      <c r="D53" s="74" t="inlineStr">
        <is>
          <t>Department of Information Technology</t>
        </is>
      </c>
      <c r="E53" s="74" t="inlineStr">
        <is>
          <t>Computer Networks, Wireless Sensor Networks, IoT Edge Systems</t>
        </is>
      </c>
      <c r="F53" s="74" t="inlineStr">
        <is>
          <t>95.0%</t>
        </is>
      </c>
      <c r="G53" s="74" t="inlineStr">
        <is>
          <t>Tier 1</t>
        </is>
      </c>
      <c r="H53" s="74" t="inlineStr">
        <is>
          <t>STRONG_EVIDENCE</t>
        </is>
      </c>
      <c r="I53" s="74" t="inlineStr">
        <is>
          <t>https://www.katalog.uu.se/profile/?id=N96-1845</t>
        </is>
      </c>
      <c r="J53" s="74" t="inlineStr">
        <is>
          <t>2026-09-15</t>
        </is>
      </c>
    </row>
    <row r="54">
      <c r="A54" s="71" t="inlineStr">
        <is>
          <t>Hong Kong</t>
        </is>
      </c>
      <c r="B54" s="72" t="inlineStr">
        <is>
          <t>The Hong Kong Polytechnic University</t>
        </is>
      </c>
      <c r="C54" s="71" t="inlineStr">
        <is>
          <t>Prof. Jiannong Cao</t>
        </is>
      </c>
      <c r="D54" s="72" t="inlineStr">
        <is>
          <t>Department of Computing (COMP)</t>
        </is>
      </c>
      <c r="E54" s="72" t="inlineStr">
        <is>
          <t>Edge Computing, Edge AI, Distributed Systems</t>
        </is>
      </c>
      <c r="F54" s="72" t="inlineStr">
        <is>
          <t>96.0%</t>
        </is>
      </c>
      <c r="G54" s="72" t="inlineStr">
        <is>
          <t>Tier 1</t>
        </is>
      </c>
      <c r="H54" s="72" t="inlineStr">
        <is>
          <t>CONFIRMED_ACTIVE</t>
        </is>
      </c>
      <c r="I54" s="72" t="inlineStr">
        <is>
          <t>https://www.polyu.edu.hk/comp/people/academic-staff/prof-cao-jiannong/</t>
        </is>
      </c>
      <c r="J54" s="72" t="inlineStr">
        <is>
          <t>2026-09-01</t>
        </is>
      </c>
    </row>
    <row r="55">
      <c r="A55" s="73" t="inlineStr">
        <is>
          <t>Hong Kong</t>
        </is>
      </c>
      <c r="B55" s="74" t="inlineStr">
        <is>
          <t>The Hong Kong Polytechnic University</t>
        </is>
      </c>
      <c r="C55" s="73" t="inlineStr">
        <is>
          <t>Prof. Song Guo</t>
        </is>
      </c>
      <c r="D55" s="74" t="inlineStr">
        <is>
          <t>Department of Computing (COMP)</t>
        </is>
      </c>
      <c r="E55" s="74" t="inlineStr">
        <is>
          <t>Edge Intelligence, Mobile Edge Computing, Federated Learning</t>
        </is>
      </c>
      <c r="F55" s="74" t="inlineStr">
        <is>
          <t>95.0%</t>
        </is>
      </c>
      <c r="G55" s="74" t="inlineStr">
        <is>
          <t>Tier 1</t>
        </is>
      </c>
      <c r="H55" s="74" t="inlineStr">
        <is>
          <t>CONFIRMED_ACTIVE</t>
        </is>
      </c>
      <c r="I55" s="74" t="inlineStr">
        <is>
          <t>https://www.polyu.edu.hk/comp/people/academic-staff/prof-guo-song/</t>
        </is>
      </c>
      <c r="J55" s="74" t="inlineStr">
        <is>
          <t>2026-09-01</t>
        </is>
      </c>
    </row>
    <row r="56">
      <c r="A56" s="71" t="inlineStr">
        <is>
          <t>Hong Kong</t>
        </is>
      </c>
      <c r="B56" s="72" t="inlineStr">
        <is>
          <t>The Chinese University of Hong Kong</t>
        </is>
      </c>
      <c r="C56" s="71" t="inlineStr">
        <is>
          <t>Prof. Minghua Chen</t>
        </is>
      </c>
      <c r="D56" s="72" t="inlineStr">
        <is>
          <t>Department of Information Engineering (IE)</t>
        </is>
      </c>
      <c r="E56" s="72" t="inlineStr">
        <is>
          <t>Online Optimization, Edge Computing Resource Allocation, Green &amp; Sustainable Edge</t>
        </is>
      </c>
      <c r="F56" s="72" t="inlineStr">
        <is>
          <t>93.0%</t>
        </is>
      </c>
      <c r="G56" s="72" t="inlineStr">
        <is>
          <t>Tier 1</t>
        </is>
      </c>
      <c r="H56" s="72" t="inlineStr">
        <is>
          <t>STRONG_EVIDENCE</t>
        </is>
      </c>
      <c r="I56" s="72" t="inlineStr">
        <is>
          <t>https://www.ie.cuhk.edu.hk/people/minghua.shtml</t>
        </is>
      </c>
      <c r="J56" s="72" t="inlineStr">
        <is>
          <t>2026-09-01</t>
        </is>
      </c>
    </row>
    <row r="57">
      <c r="A57" s="73" t="inlineStr">
        <is>
          <t>Hong Kong</t>
        </is>
      </c>
      <c r="B57" s="74" t="inlineStr">
        <is>
          <t>The Chinese University of Hong Kong</t>
        </is>
      </c>
      <c r="C57" s="73" t="inlineStr">
        <is>
          <t>Prof. John C.S. Lui</t>
        </is>
      </c>
      <c r="D57" s="74" t="inlineStr">
        <is>
          <t>Department of Computer Science and Engineering (CSE)</t>
        </is>
      </c>
      <c r="E57" s="74" t="inlineStr">
        <is>
          <t>Network Systems, Edge Caching, Reinforcement Learning in Networking</t>
        </is>
      </c>
      <c r="F57" s="74" t="inlineStr">
        <is>
          <t>92.0%</t>
        </is>
      </c>
      <c r="G57" s="74" t="inlineStr">
        <is>
          <t>Tier 1</t>
        </is>
      </c>
      <c r="H57" s="74" t="inlineStr">
        <is>
          <t>STRONG_EVIDENCE</t>
        </is>
      </c>
      <c r="I57" s="74" t="inlineStr">
        <is>
          <t>https://www.cse.cuhk.edu.hk/people/faculty/john-c-s-lui/</t>
        </is>
      </c>
      <c r="J57" s="74" t="inlineStr">
        <is>
          <t>2026-09-01</t>
        </is>
      </c>
    </row>
    <row r="58">
      <c r="A58" s="71" t="inlineStr">
        <is>
          <t>Hong Kong</t>
        </is>
      </c>
      <c r="B58" s="72" t="inlineStr">
        <is>
          <t>The Hong Kong University of Science and Technology</t>
        </is>
      </c>
      <c r="C58" s="71" t="inlineStr">
        <is>
          <t>Prof. Wei Wang</t>
        </is>
      </c>
      <c r="D58" s="72" t="inlineStr">
        <is>
          <t>Department of Computer Science and Engineering (CSE)</t>
        </is>
      </c>
      <c r="E58" s="72" t="inlineStr">
        <is>
          <t>Distributed Machine Learning, Edge Intelligence, Cloud-Edge Systems</t>
        </is>
      </c>
      <c r="F58" s="72" t="inlineStr">
        <is>
          <t>96.0%</t>
        </is>
      </c>
      <c r="G58" s="72" t="inlineStr">
        <is>
          <t>Tier 1</t>
        </is>
      </c>
      <c r="H58" s="72" t="inlineStr">
        <is>
          <t>CONFIRMED_ACTIVE</t>
        </is>
      </c>
      <c r="I58" s="72" t="inlineStr">
        <is>
          <t>https://cse.hkust.edu.hk/admin/people/faculty/profile/weiwa</t>
        </is>
      </c>
      <c r="J58" s="72" t="inlineStr">
        <is>
          <t>2026-09-01</t>
        </is>
      </c>
    </row>
    <row r="59">
      <c r="A59" s="73" t="inlineStr">
        <is>
          <t>Hong Kong</t>
        </is>
      </c>
      <c r="B59" s="74" t="inlineStr">
        <is>
          <t>The Hong Kong University of Science and Technology</t>
        </is>
      </c>
      <c r="C59" s="73" t="inlineStr">
        <is>
          <t>Prof. Lin Wang</t>
        </is>
      </c>
      <c r="D59" s="74" t="inlineStr">
        <is>
          <t>Department of Computer Science and Engineering (CSE)</t>
        </is>
      </c>
      <c r="E59" s="74" t="inlineStr">
        <is>
          <t>Edge Computing Systems, Serverless Edge Computing, Cloud-Edge Resource Allocation</t>
        </is>
      </c>
      <c r="F59" s="74" t="inlineStr">
        <is>
          <t>95.0%</t>
        </is>
      </c>
      <c r="G59" s="74" t="inlineStr">
        <is>
          <t>Tier 1</t>
        </is>
      </c>
      <c r="H59" s="74" t="inlineStr">
        <is>
          <t>CONFIRMED_ACTIVE</t>
        </is>
      </c>
      <c r="I59" s="74" t="inlineStr">
        <is>
          <t>https://cse.hkust.edu.hk/admin/people/faculty/profile/linwang</t>
        </is>
      </c>
      <c r="J59" s="74" t="inlineStr">
        <is>
          <t>2026-09-01</t>
        </is>
      </c>
    </row>
    <row r="60">
      <c r="A60" s="71" t="inlineStr">
        <is>
          <t>Hong Kong</t>
        </is>
      </c>
      <c r="B60" s="72" t="inlineStr">
        <is>
          <t>The University of Hong Kong</t>
        </is>
      </c>
      <c r="C60" s="71" t="inlineStr">
        <is>
          <t>Prof. Chuan Wu</t>
        </is>
      </c>
      <c r="D60" s="72" t="inlineStr">
        <is>
          <t>Department of Computer Science (CS)</t>
        </is>
      </c>
      <c r="E60" s="72" t="inlineStr">
        <is>
          <t>Cloud and Edge Computing, Distributed Machine Learning Systems, Resource Scheduling</t>
        </is>
      </c>
      <c r="F60" s="72" t="inlineStr">
        <is>
          <t>96.0%</t>
        </is>
      </c>
      <c r="G60" s="72" t="inlineStr">
        <is>
          <t>Tier 1</t>
        </is>
      </c>
      <c r="H60" s="72" t="inlineStr">
        <is>
          <t>CONFIRMED_ACTIVE</t>
        </is>
      </c>
      <c r="I60" s="72" t="inlineStr">
        <is>
          <t>https://www.cs.hku.hk/people/academic-staff/cwu</t>
        </is>
      </c>
      <c r="J60" s="72" t="inlineStr">
        <is>
          <t>2026-09-01</t>
        </is>
      </c>
    </row>
    <row r="61">
      <c r="A61" s="73" t="inlineStr">
        <is>
          <t>Hong Kong</t>
        </is>
      </c>
      <c r="B61" s="74" t="inlineStr">
        <is>
          <t>The University of Hong Kong</t>
        </is>
      </c>
      <c r="C61" s="73" t="inlineStr">
        <is>
          <t>Prof. Heming Cui</t>
        </is>
      </c>
      <c r="D61" s="74" t="inlineStr">
        <is>
          <t>Department of Computer Science (CS)</t>
        </is>
      </c>
      <c r="E61" s="74" t="inlineStr">
        <is>
          <t>Distributed Systems, Concurrency, Fault Tolerance</t>
        </is>
      </c>
      <c r="F61" s="74" t="inlineStr">
        <is>
          <t>93.0%</t>
        </is>
      </c>
      <c r="G61" s="74" t="inlineStr">
        <is>
          <t>Tier 1</t>
        </is>
      </c>
      <c r="H61" s="74" t="inlineStr">
        <is>
          <t>STRONG_EVIDENCE</t>
        </is>
      </c>
      <c r="I61" s="74" t="inlineStr">
        <is>
          <t>https://www.cs.hku.hk/people/academic-staff/heming</t>
        </is>
      </c>
      <c r="J61" s="74" t="inlineStr">
        <is>
          <t>2026-09-01</t>
        </is>
      </c>
    </row>
    <row r="62">
      <c r="A62" s="71" t="inlineStr">
        <is>
          <t>Hong Kong</t>
        </is>
      </c>
      <c r="B62" s="72" t="inlineStr">
        <is>
          <t>City University of Hong Kong</t>
        </is>
      </c>
      <c r="C62" s="71" t="inlineStr">
        <is>
          <t>Prof. Jianping Wang</t>
        </is>
      </c>
      <c r="D62" s="72" t="inlineStr">
        <is>
          <t>Department of Computer Science (CS)</t>
        </is>
      </c>
      <c r="E62" s="72" t="inlineStr">
        <is>
          <t>Edge Computing in Connected Vehicles, Autonomous Driving Systems, Cloud Computing</t>
        </is>
      </c>
      <c r="F62" s="72" t="inlineStr">
        <is>
          <t>95.0%</t>
        </is>
      </c>
      <c r="G62" s="72" t="inlineStr">
        <is>
          <t>Tier 1</t>
        </is>
      </c>
      <c r="H62" s="72" t="inlineStr">
        <is>
          <t>CONFIRMED_ACTIVE</t>
        </is>
      </c>
      <c r="I62" s="72" t="inlineStr">
        <is>
          <t>https://www.cs.cityu.edu.hk/people/academic-staff/jianwang</t>
        </is>
      </c>
      <c r="J62" s="72" t="inlineStr">
        <is>
          <t>2026-09-01</t>
        </is>
      </c>
    </row>
    <row r="63">
      <c r="A63" s="73" t="inlineStr">
        <is>
          <t>Hong Kong</t>
        </is>
      </c>
      <c r="B63" s="74" t="inlineStr">
        <is>
          <t>Hong Kong Baptist University</t>
        </is>
      </c>
      <c r="C63" s="73" t="inlineStr">
        <is>
          <t>Prof. Xiaowen Chu</t>
        </is>
      </c>
      <c r="D63" s="74" t="inlineStr">
        <is>
          <t>Department of Computer Science (COMP)</t>
        </is>
      </c>
      <c r="E63" s="74" t="inlineStr">
        <is>
          <t>GPU Computing, Deep Learning Systems, Edge AI Inference</t>
        </is>
      </c>
      <c r="F63" s="74" t="inlineStr">
        <is>
          <t>92.0%</t>
        </is>
      </c>
      <c r="G63" s="74" t="inlineStr">
        <is>
          <t>Tier 1</t>
        </is>
      </c>
      <c r="H63" s="74" t="inlineStr">
        <is>
          <t>CONFIRMED_ACTIVE</t>
        </is>
      </c>
      <c r="I63" s="74" t="inlineStr">
        <is>
          <t>https://www.comp.hkbu.edu.hk/v1/?page=profile&amp;id=chxw</t>
        </is>
      </c>
      <c r="J63" s="74" t="inlineStr">
        <is>
          <t>2026-09-01</t>
        </is>
      </c>
    </row>
    <row r="64">
      <c r="A64" s="71" t="inlineStr">
        <is>
          <t>Hong Kong</t>
        </is>
      </c>
      <c r="B64" s="72" t="inlineStr">
        <is>
          <t>Lingnan University</t>
        </is>
      </c>
      <c r="C64" s="71" t="inlineStr">
        <is>
          <t>Prof. Sam Kwong</t>
        </is>
      </c>
      <c r="D64" s="72" t="inlineStr">
        <is>
          <t>School of Data Science</t>
        </is>
      </c>
      <c r="E64" s="72" t="inlineStr">
        <is>
          <t>Computational Intelligence, Video Compression for Edge Devices, Evolutionary Computation</t>
        </is>
      </c>
      <c r="F64" s="72" t="inlineStr">
        <is>
          <t>85.0%</t>
        </is>
      </c>
      <c r="G64" s="72" t="inlineStr">
        <is>
          <t>Tier 2</t>
        </is>
      </c>
      <c r="H64" s="72" t="inlineStr">
        <is>
          <t>STRONG_EVIDENCE</t>
        </is>
      </c>
      <c r="I64" s="72" t="inlineStr">
        <is>
          <t>https://www.ln.edu.hk/sds/people/faculty/prof-kwong-tak-wu-sam</t>
        </is>
      </c>
      <c r="J64" s="72" t="inlineStr">
        <is>
          <t>2026-09-01</t>
        </is>
      </c>
    </row>
    <row r="65">
      <c r="A65" s="73" t="inlineStr">
        <is>
          <t>Hong Kong</t>
        </is>
      </c>
      <c r="B65" s="74" t="inlineStr">
        <is>
          <t>The Education University of Hong Kong</t>
        </is>
      </c>
      <c r="C65" s="73" t="inlineStr">
        <is>
          <t>Prof. Philip L.H. Yu</t>
        </is>
      </c>
      <c r="D65" s="74" t="inlineStr">
        <is>
          <t>Department of Mathematics and Information Technology (MIT)</t>
        </is>
      </c>
      <c r="E65" s="74" t="inlineStr">
        <is>
          <t>Statistical Machine Learning, Distributed IoT Stream Analytics, Anomaly Detection</t>
        </is>
      </c>
      <c r="F65" s="74" t="inlineStr">
        <is>
          <t>78.0%</t>
        </is>
      </c>
      <c r="G65" s="74" t="inlineStr">
        <is>
          <t>Tier 3</t>
        </is>
      </c>
      <c r="H65" s="74" t="inlineStr">
        <is>
          <t>POSSIBLE</t>
        </is>
      </c>
      <c r="I65" s="74" t="inlineStr">
        <is>
          <t>https://www.eduhk.hk/mit/people/academic-staff/yu-leung-ho-philip</t>
        </is>
      </c>
      <c r="J65" s="74" t="inlineStr">
        <is>
          <t>2026-09-01</t>
        </is>
      </c>
    </row>
  </sheetData>
  <mergeCells count="1">
    <mergeCell ref="A1:J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0"/>
  <sheetViews>
    <sheetView showGridLines="1" workbookViewId="0">
      <selection activeCell="A1" sqref="A1"/>
    </sheetView>
  </sheetViews>
  <sheetFormatPr baseColWidth="8" defaultRowHeight="15"/>
  <cols>
    <col width="17" customWidth="1" min="1" max="1"/>
    <col width="40" customWidth="1" min="2" max="2"/>
    <col width="40" customWidth="1" min="3" max="3"/>
    <col width="15" customWidth="1" min="4" max="4"/>
    <col width="40" customWidth="1" min="5" max="5"/>
    <col width="40" customWidth="1" min="6" max="6"/>
    <col width="23" customWidth="1" min="7" max="7"/>
    <col width="20" customWidth="1" min="8" max="8"/>
    <col width="40" customWidth="1" min="9" max="9"/>
  </cols>
  <sheetData>
    <row r="1" ht="36" customHeight="1">
      <c r="A1" s="69" t="inlineStr">
        <is>
          <t>GLOBAL DOCTORAL FUNDING &amp; SCHOLARSHIPS DIRECTORY</t>
        </is>
      </c>
    </row>
    <row r="2"/>
    <row r="3" ht="24" customHeight="1">
      <c r="A3" s="70" t="inlineStr">
        <is>
          <t>Country</t>
        </is>
      </c>
      <c r="B3" s="70" t="inlineStr">
        <is>
          <t>University / Provider</t>
        </is>
      </c>
      <c r="C3" s="70" t="inlineStr">
        <is>
          <t>Scheme Title</t>
        </is>
      </c>
      <c r="D3" s="70" t="inlineStr">
        <is>
          <t>Funding Type</t>
        </is>
      </c>
      <c r="E3" s="70" t="inlineStr">
        <is>
          <t>Tuition Coverage</t>
        </is>
      </c>
      <c r="F3" s="70" t="inlineStr">
        <is>
          <t>Stipend / Salary</t>
        </is>
      </c>
      <c r="G3" s="70" t="inlineStr">
        <is>
          <t>International Access</t>
        </is>
      </c>
      <c r="H3" s="70" t="inlineStr">
        <is>
          <t>Dependant Support</t>
        </is>
      </c>
      <c r="I3" s="70" t="inlineStr">
        <is>
          <t>Application Deadline</t>
        </is>
      </c>
    </row>
    <row r="4">
      <c r="A4" s="71" t="inlineStr">
        <is>
          <t>United Kingdom</t>
        </is>
      </c>
      <c r="B4" s="72" t="inlineStr">
        <is>
          <t>All UKRI-Partnered Universities (Imperial, Cambridge, Oxford, Edinburgh, etc.)</t>
        </is>
      </c>
      <c r="C4" s="71" t="inlineStr">
        <is>
          <t>UKRI / EPSRC Doctoral Studentships (DTP / ICASE / CDT)</t>
        </is>
      </c>
      <c r="D4" s="72" t="inlineStr">
        <is>
          <t>FULLY_FUNDED</t>
        </is>
      </c>
      <c r="E4" s="72" t="inlineStr">
        <is>
          <t>Full tuition fees covered for standard PhD duration (including international fee waivers within quota)</t>
        </is>
      </c>
      <c r="F4" s="72" t="inlineStr">
        <is>
          <t>£19,237/year minimum UKRI tax-free stipend (higher rate of ~£21,500/year for London institutions) + research travel grant</t>
        </is>
      </c>
      <c r="G4" s="72" t="inlineStr">
        <is>
          <t>ELIGIBLE</t>
        </is>
      </c>
      <c r="H4" s="72" t="inlineStr">
        <is>
          <t>PERMITTED</t>
        </is>
      </c>
      <c r="I4" s="72" t="inlineStr">
        <is>
          <t>2026-12-15</t>
        </is>
      </c>
    </row>
    <row r="5">
      <c r="A5" s="73" t="inlineStr">
        <is>
          <t>United Kingdom</t>
        </is>
      </c>
      <c r="B5" s="74" t="inlineStr">
        <is>
          <t>University of Cambridge</t>
        </is>
      </c>
      <c r="C5" s="73" t="inlineStr">
        <is>
          <t>Gates Cambridge Scholarship (PhD Track)</t>
        </is>
      </c>
      <c r="D5" s="74" t="inlineStr">
        <is>
          <t>FULLY_FUNDED</t>
        </is>
      </c>
      <c r="E5" s="74" t="inlineStr">
        <is>
          <t>Full Cambridge University Composition Fee covered</t>
        </is>
      </c>
      <c r="F5" s="74" t="inlineStr">
        <is>
          <t>£21,000/year tax-free maintenance allowance + up to £11,604/year family allowance for dependants</t>
        </is>
      </c>
      <c r="G5" s="74" t="inlineStr">
        <is>
          <t>ELIGIBLE</t>
        </is>
      </c>
      <c r="H5" s="74" t="inlineStr">
        <is>
          <t>EXCELLENT</t>
        </is>
      </c>
      <c r="I5" s="74" t="inlineStr">
        <is>
          <t>2026-12-03</t>
        </is>
      </c>
    </row>
    <row r="6">
      <c r="A6" s="71" t="inlineStr">
        <is>
          <t>United Kingdom</t>
        </is>
      </c>
      <c r="B6" s="72" t="inlineStr">
        <is>
          <t>Imperial College London</t>
        </is>
      </c>
      <c r="C6" s="71" t="inlineStr">
        <is>
          <t>Imperial College President's PhD Scholarships</t>
        </is>
      </c>
      <c r="D6" s="72" t="inlineStr">
        <is>
          <t>FULLY_FUNDED</t>
        </is>
      </c>
      <c r="E6" s="72" t="inlineStr">
        <is>
          <t>Full international or home tuition fees covered</t>
        </is>
      </c>
      <c r="F6" s="72" t="inlineStr">
        <is>
          <t>£25,150/year tax-free stipend + £2,000/year consumables fund</t>
        </is>
      </c>
      <c r="G6" s="72" t="inlineStr">
        <is>
          <t>ELIGIBLE</t>
        </is>
      </c>
      <c r="H6" s="72" t="inlineStr">
        <is>
          <t>PERMITTED</t>
        </is>
      </c>
      <c r="I6" s="72" t="inlineStr">
        <is>
          <t>2026-11-06</t>
        </is>
      </c>
    </row>
    <row r="7">
      <c r="A7" s="73" t="inlineStr">
        <is>
          <t>United Kingdom</t>
        </is>
      </c>
      <c r="B7" s="74" t="inlineStr">
        <is>
          <t>University of Edinburgh</t>
        </is>
      </c>
      <c r="C7" s="73" t="inlineStr">
        <is>
          <t>Principal's Career Development PhD Scholarships</t>
        </is>
      </c>
      <c r="D7" s="74" t="inlineStr">
        <is>
          <t>FULLY_FUNDED</t>
        </is>
      </c>
      <c r="E7" s="74" t="inlineStr">
        <is>
          <t>Full tuition fees at UK or Overseas rate</t>
        </is>
      </c>
      <c r="F7" s="74" t="inlineStr">
        <is>
          <t>£19,237/year stipend matching UKRI rate</t>
        </is>
      </c>
      <c r="G7" s="74" t="inlineStr">
        <is>
          <t>ELIGIBLE</t>
        </is>
      </c>
      <c r="H7" s="74" t="inlineStr">
        <is>
          <t>PERMITTED</t>
        </is>
      </c>
      <c r="I7" s="74" t="inlineStr">
        <is>
          <t>2026-12-01</t>
        </is>
      </c>
    </row>
    <row r="8">
      <c r="A8" s="71" t="inlineStr">
        <is>
          <t>Japan</t>
        </is>
      </c>
      <c r="B8" s="72" t="inlineStr">
        <is>
          <t>All Designated National Universities (UTokyo, Kyoto, Tokyo Tech, Osaka, Keio, etc.)</t>
        </is>
      </c>
      <c r="C8" s="71" t="inlineStr">
        <is>
          <t>Japanese Government (MEXT) Doctoral Scholarship (University &amp; Embassy Track)</t>
        </is>
      </c>
      <c r="D8" s="72" t="inlineStr">
        <is>
          <t>FULLY_FUNDED</t>
        </is>
      </c>
      <c r="E8" s="72" t="inlineStr">
        <is>
          <t>Full 100% waiver of university examination, admission, and tuition fees</t>
        </is>
      </c>
      <c r="F8" s="72" t="inlineStr">
        <is>
          <t>145,000 - 148,000 JPY/month tax-free living allowance + roundtrip international airfare</t>
        </is>
      </c>
      <c r="G8" s="72" t="inlineStr">
        <is>
          <t>ELIGIBLE</t>
        </is>
      </c>
      <c r="H8" s="72" t="inlineStr">
        <is>
          <t>PERMITTED</t>
        </is>
      </c>
      <c r="I8" s="72" t="inlineStr">
        <is>
          <t>2026-11-30</t>
        </is>
      </c>
    </row>
    <row r="9">
      <c r="A9" s="73" t="inlineStr">
        <is>
          <t>Japan</t>
        </is>
      </c>
      <c r="B9" s="74" t="inlineStr">
        <is>
          <t>All Japanese Universities &amp; Research Institutes</t>
        </is>
      </c>
      <c r="C9" s="73" t="inlineStr">
        <is>
          <t>JSPS Research Fellowship for Young Scientists (DC1 / DC2)</t>
        </is>
      </c>
      <c r="D9" s="74" t="inlineStr">
        <is>
          <t>FULLY_FUNDED</t>
        </is>
      </c>
      <c r="E9" s="74" t="inlineStr">
        <is>
          <t>Institutional tuition waiver or subsidy typically granted to awardees</t>
        </is>
      </c>
      <c r="F9" s="74" t="inlineStr">
        <is>
          <t>200,000 JPY/month monthly research stipend + up to 1,500,000 JPY/year Grants-in-Aid for Scientific Research (KAKENHI)</t>
        </is>
      </c>
      <c r="G9" s="74" t="inlineStr">
        <is>
          <t>ELIGIBLE</t>
        </is>
      </c>
      <c r="H9" s="74" t="inlineStr">
        <is>
          <t>PERMITTED</t>
        </is>
      </c>
      <c r="I9" s="74" t="inlineStr">
        <is>
          <t>2026-05-15</t>
        </is>
      </c>
    </row>
    <row r="10">
      <c r="A10" s="71" t="inlineStr">
        <is>
          <t>Japan</t>
        </is>
      </c>
      <c r="B10" s="72" t="inlineStr">
        <is>
          <t>The University of Tokyo</t>
        </is>
      </c>
      <c r="C10" s="71" t="inlineStr">
        <is>
          <t>The University of Tokyo Special Scholarship for International Students (UTokyo Fellowship)</t>
        </is>
      </c>
      <c r="D10" s="72" t="inlineStr">
        <is>
          <t>FULLY_FUNDED</t>
        </is>
      </c>
      <c r="E10" s="72" t="inlineStr">
        <is>
          <t>Full tuition fees covered through institutional grants</t>
        </is>
      </c>
      <c r="F10" s="72" t="inlineStr">
        <is>
          <t>150,000 - 200,000 JPY/month research grant stipend</t>
        </is>
      </c>
      <c r="G10" s="72" t="inlineStr">
        <is>
          <t>ELIGIBLE</t>
        </is>
      </c>
      <c r="H10" s="72" t="inlineStr">
        <is>
          <t>PERMITTED</t>
        </is>
      </c>
      <c r="I10" s="72" t="inlineStr">
        <is>
          <t>2026-11-15</t>
        </is>
      </c>
    </row>
    <row r="11">
      <c r="A11" s="73" t="inlineStr">
        <is>
          <t>Japan</t>
        </is>
      </c>
      <c r="B11" s="74" t="inlineStr">
        <is>
          <t>Partner Japanese Universities (Kyoto, Tokyo Tech, Osaka, Keio, Tohoku)</t>
        </is>
      </c>
      <c r="C11" s="73" t="inlineStr">
        <is>
          <t>JST SPRING Doctoral Research Fellowship</t>
        </is>
      </c>
      <c r="D11" s="74" t="inlineStr">
        <is>
          <t>FULLY_FUNDED</t>
        </is>
      </c>
      <c r="E11" s="74" t="inlineStr">
        <is>
          <t>Full tuition exemption or institutional coverage</t>
        </is>
      </c>
      <c r="F11" s="74" t="inlineStr">
        <is>
          <t>180,000 - 200,000 JPY/month living grant + 300,000 - 500,000 JPY/year research budget</t>
        </is>
      </c>
      <c r="G11" s="74" t="inlineStr">
        <is>
          <t>ELIGIBLE</t>
        </is>
      </c>
      <c r="H11" s="74" t="inlineStr">
        <is>
          <t>PERMITTED</t>
        </is>
      </c>
      <c r="I11" s="74" t="inlineStr">
        <is>
          <t>2026-12-01</t>
        </is>
      </c>
    </row>
    <row r="12">
      <c r="A12" s="71" t="inlineStr">
        <is>
          <t>Germany</t>
        </is>
      </c>
      <c r="B12" s="72" t="inlineStr">
        <is>
          <t>All German Public Universities (TUM, RWTH Aachen, TU Berlin, KIT, TU Dresden, etc.)</t>
        </is>
      </c>
      <c r="C12" s="71" t="inlineStr">
        <is>
          <t>TV-L E13 Research Associate (Wissenschaftlicher Mitarbeiter / Doctoral Position)</t>
        </is>
      </c>
      <c r="D12" s="72" t="inlineStr">
        <is>
          <t>FULLY_FUNDED</t>
        </is>
      </c>
      <c r="E12" s="72" t="inlineStr">
        <is>
          <t>Full tuition-free education (German public universities charge zero tuition; only nominal semester fee ~€150-€350 including transit pass)</t>
        </is>
      </c>
      <c r="F12" s="72" t="inlineStr">
        <is>
          <t>€48,000 - €56,000 gross/year (100% TV-L E13 salary) or €36,000 - €42,000 (75% TV-L E13), including full health, unemployment, and statutory pension insurance</t>
        </is>
      </c>
      <c r="G12" s="72" t="inlineStr">
        <is>
          <t>ELIGIBLE</t>
        </is>
      </c>
      <c r="H12" s="72" t="inlineStr">
        <is>
          <t>EXCELLENT</t>
        </is>
      </c>
      <c r="I12" s="72" t="inlineStr">
        <is>
          <t>2026-12-01</t>
        </is>
      </c>
    </row>
    <row r="13">
      <c r="A13" s="73" t="inlineStr">
        <is>
          <t>Germany</t>
        </is>
      </c>
      <c r="B13" s="74" t="inlineStr">
        <is>
          <t>All Accredited German Universities / Max Planck / Helmholtz Institutes</t>
        </is>
      </c>
      <c r="C13" s="73" t="inlineStr">
        <is>
          <t>DAAD Doctoral Research Grants (One-Year Grants / Complete Doctorate)</t>
        </is>
      </c>
      <c r="D13" s="74" t="inlineStr">
        <is>
          <t>FULLY_FUNDED</t>
        </is>
      </c>
      <c r="E13" s="74" t="inlineStr">
        <is>
          <t>Zero tuition at German universities; DAAD covers all mandatory semester contributions</t>
        </is>
      </c>
      <c r="F13" s="74" t="inlineStr">
        <is>
          <t>€1,350/month tax-free stipend + €460/year research allowance + monthly spouse/child supplement (€276/mo spouse + €204/mo child) + comprehensive health insurance</t>
        </is>
      </c>
      <c r="G13" s="74" t="inlineStr">
        <is>
          <t>ELIGIBLE</t>
        </is>
      </c>
      <c r="H13" s="74" t="inlineStr">
        <is>
          <t>EXCELLENT</t>
        </is>
      </c>
      <c r="I13" s="74" t="inlineStr">
        <is>
          <t>2026-11-01</t>
        </is>
      </c>
    </row>
    <row r="14">
      <c r="A14" s="71" t="inlineStr">
        <is>
          <t>Germany</t>
        </is>
      </c>
      <c r="B14" s="72" t="inlineStr">
        <is>
          <t>Participating DFG Research Training Groups (TUM, RWTH, TU Dresden, etc.)</t>
        </is>
      </c>
      <c r="C14" s="71" t="inlineStr">
        <is>
          <t>DFG Research Training Group (Graduiertenkolleg) Doctoral Positions</t>
        </is>
      </c>
      <c r="D14" s="72" t="inlineStr">
        <is>
          <t>FULLY_FUNDED</t>
        </is>
      </c>
      <c r="E14" s="72" t="inlineStr">
        <is>
          <t>Zero tuition + travel grants + workshop subsidies</t>
        </is>
      </c>
      <c r="F14" s="72" t="inlineStr">
        <is>
          <t>Full TV-L E13 employment contract (~€50,000/yr gross) or tax-free DFG doctoral fellowship (~€1,600/mo + child allowances)</t>
        </is>
      </c>
      <c r="G14" s="72" t="inlineStr">
        <is>
          <t>ELIGIBLE</t>
        </is>
      </c>
      <c r="H14" s="72" t="inlineStr">
        <is>
          <t>EXCELLENT</t>
        </is>
      </c>
      <c r="I14" s="72" t="inlineStr">
        <is>
          <t>2026-12-15</t>
        </is>
      </c>
    </row>
    <row r="15">
      <c r="A15" s="73" t="inlineStr">
        <is>
          <t>United States</t>
        </is>
      </c>
      <c r="B15" s="74" t="inlineStr">
        <is>
          <t>All Major US Research Universities (CMU, Berkeley, UT Austin, UIUC, MIT, Stanford, etc.)</t>
        </is>
      </c>
      <c r="C15" s="73" t="inlineStr">
        <is>
          <t>Full Graduate Research Assistantship (GRA / RA / Teaching Assistantship GTA)</t>
        </is>
      </c>
      <c r="D15" s="74" t="inlineStr">
        <is>
          <t>FULLY_FUNDED</t>
        </is>
      </c>
      <c r="E15" s="74" t="inlineStr">
        <is>
          <t>100% full tuition waiver and mandatory university fee coverage for duration of PhD</t>
        </is>
      </c>
      <c r="F15" s="74" t="inlineStr">
        <is>
          <t>$32,000 - $48,000/year living stipend paid semi-monthly + university-subsidized comprehensive health, dental, and vision insurance</t>
        </is>
      </c>
      <c r="G15" s="74" t="inlineStr">
        <is>
          <t>ELIGIBLE</t>
        </is>
      </c>
      <c r="H15" s="74" t="inlineStr">
        <is>
          <t>PERMITTED</t>
        </is>
      </c>
      <c r="I15" s="74" t="inlineStr">
        <is>
          <t>2026-12-15</t>
        </is>
      </c>
    </row>
    <row r="16">
      <c r="A16" s="71" t="inlineStr">
        <is>
          <t>United States</t>
        </is>
      </c>
      <c r="B16" s="72" t="inlineStr">
        <is>
          <t>All Accredited US Institutions</t>
        </is>
      </c>
      <c r="C16" s="71" t="inlineStr">
        <is>
          <t>Doctoral Departmental &amp; Institutional Fellowships (Dean's Fellowship / Chancellor's Fellowship)</t>
        </is>
      </c>
      <c r="D16" s="72" t="inlineStr">
        <is>
          <t>FULLY_FUNDED</t>
        </is>
      </c>
      <c r="E16" s="72" t="inlineStr">
        <is>
          <t>Full tuition and fee waiver</t>
        </is>
      </c>
      <c r="F16" s="72" t="inlineStr">
        <is>
          <t>$38,000 - $45,000/year tax-free stipend with zero teaching obligations in year 1</t>
        </is>
      </c>
      <c r="G16" s="72" t="inlineStr">
        <is>
          <t>ELIGIBLE</t>
        </is>
      </c>
      <c r="H16" s="72" t="inlineStr">
        <is>
          <t>PERMITTED</t>
        </is>
      </c>
      <c r="I16" s="72" t="inlineStr">
        <is>
          <t>2026-12-10</t>
        </is>
      </c>
    </row>
    <row r="17">
      <c r="A17" s="73" t="inlineStr">
        <is>
          <t>United States</t>
        </is>
      </c>
      <c r="B17" s="74" t="inlineStr">
        <is>
          <t>Accredited US Universities</t>
        </is>
      </c>
      <c r="C17" s="73" t="inlineStr">
        <is>
          <t>Fulbright Foreign Student Program (Doctoral Track)</t>
        </is>
      </c>
      <c r="D17" s="74" t="inlineStr">
        <is>
          <t>FULLY_FUNDED</t>
        </is>
      </c>
      <c r="E17" s="74" t="inlineStr">
        <is>
          <t>Full tuition and mandatory fees covered</t>
        </is>
      </c>
      <c r="F17" s="74" t="inlineStr">
        <is>
          <t>Monthly maintenance stipend calibrated to host city cost of living + health benefits + J-2 spouse work eligibility (EAD)</t>
        </is>
      </c>
      <c r="G17" s="74" t="inlineStr">
        <is>
          <t>ELIGIBLE</t>
        </is>
      </c>
      <c r="H17" s="74" t="inlineStr">
        <is>
          <t>PERMITTED</t>
        </is>
      </c>
      <c r="I17" s="74" t="inlineStr">
        <is>
          <t>2026-05-15</t>
        </is>
      </c>
    </row>
    <row r="18">
      <c r="A18" s="71" t="inlineStr">
        <is>
          <t>Canada</t>
        </is>
      </c>
      <c r="B18" s="72" t="inlineStr">
        <is>
          <t>All Participating Canadian Institutions (Toronto, Waterloo, UBC, McGill, Alberta, etc.)</t>
        </is>
      </c>
      <c r="C18" s="71" t="inlineStr">
        <is>
          <t>Vanier Canada Graduate Scholarships (Vanier CGS)</t>
        </is>
      </c>
      <c r="D18" s="72" t="inlineStr">
        <is>
          <t>FULLY_FUNDED</t>
        </is>
      </c>
      <c r="E18" s="72" t="inlineStr">
        <is>
          <t>Full tuition waivers typically awarded alongside fellowship by host institution</t>
        </is>
      </c>
      <c r="F18" s="72" t="inlineStr">
        <is>
          <t>CAD $50,000/year tax-free stipend + Spousal Open Work Permit (SOWP) eligibility</t>
        </is>
      </c>
      <c r="G18" s="72" t="inlineStr">
        <is>
          <t>ELIGIBLE</t>
        </is>
      </c>
      <c r="H18" s="72" t="inlineStr">
        <is>
          <t>GOOD</t>
        </is>
      </c>
      <c r="I18" s="72" t="inlineStr">
        <is>
          <t>2026-11-01</t>
        </is>
      </c>
    </row>
    <row r="19">
      <c r="A19" s="73" t="inlineStr">
        <is>
          <t>Canada</t>
        </is>
      </c>
      <c r="B19" s="74" t="inlineStr">
        <is>
          <t>Canadian Research Universities (Toronto, Waterloo, UBC, McGill)</t>
        </is>
      </c>
      <c r="C19" s="73" t="inlineStr">
        <is>
          <t>Guaranteed Minimum Doctoral Funding Package (Research &amp; Teaching Assistantships)</t>
        </is>
      </c>
      <c r="D19" s="74" t="inlineStr">
        <is>
          <t>FULLY_FUNDED</t>
        </is>
      </c>
      <c r="E19" s="74" t="inlineStr">
        <is>
          <t>Full international tuition differential fee waiver or reimbursement</t>
        </is>
      </c>
      <c r="F19" s="74" t="inlineStr">
        <is>
          <t>CAD $25,000 - $35,000/year base living funding (after tuition is covered)</t>
        </is>
      </c>
      <c r="G19" s="74" t="inlineStr">
        <is>
          <t>ELIGIBLE</t>
        </is>
      </c>
      <c r="H19" s="74" t="inlineStr">
        <is>
          <t>GOOD</t>
        </is>
      </c>
      <c r="I19" s="74" t="inlineStr">
        <is>
          <t>2026-12-15</t>
        </is>
      </c>
    </row>
    <row r="20">
      <c r="A20" s="71" t="inlineStr">
        <is>
          <t>Sweden</t>
        </is>
      </c>
      <c r="B20" s="72" t="inlineStr">
        <is>
          <t>All Swedish Public Universities (KTH, Chalmers, Lund, Uppsala, Umeå, Linköping)</t>
        </is>
      </c>
      <c r="C20" s="71" t="inlineStr">
        <is>
          <t>Swedish Salaried Doctoral Position (Doktorandanställning)</t>
        </is>
      </c>
      <c r="D20" s="72" t="inlineStr">
        <is>
          <t>FULLY_FUNDED</t>
        </is>
      </c>
      <c r="E20" s="72" t="inlineStr">
        <is>
          <t>Full 100% free tuition for all doctoral students (tuition fees are legally waived by Swedish law for PhD researchers)</t>
        </is>
      </c>
      <c r="F20" s="72" t="inlineStr">
        <is>
          <t>31,000 - 35,500 SEK/month gross employment salary (regulated by collective bargaining agreements) + full statutory pension, paid vacation (28 days/yr), healthcare, and parental leave benefits</t>
        </is>
      </c>
      <c r="G20" s="72" t="inlineStr">
        <is>
          <t>ELIGIBLE</t>
        </is>
      </c>
      <c r="H20" s="72" t="inlineStr">
        <is>
          <t>EXCELLENT</t>
        </is>
      </c>
      <c r="I20" s="72" t="inlineStr">
        <is>
          <t>2026-12-01</t>
        </is>
      </c>
    </row>
    <row r="21">
      <c r="A21" s="73" t="inlineStr">
        <is>
          <t>Sweden</t>
        </is>
      </c>
      <c r="B21" s="74" t="inlineStr">
        <is>
          <t>WASP Partner Universities (KTH, Chalmers, Lund, Umeå, Linköping)</t>
        </is>
      </c>
      <c r="C21" s="73" t="inlineStr">
        <is>
          <t>Wallenberg AI, Autonomous Systems and Software Program (WASP) PhD Fellowship</t>
        </is>
      </c>
      <c r="D21" s="74" t="inlineStr">
        <is>
          <t>FULLY_FUNDED</t>
        </is>
      </c>
      <c r="E21" s="74" t="inlineStr">
        <is>
          <t>Zero tuition + SEK 500,000/year individual research &amp; compute travel budget</t>
        </is>
      </c>
      <c r="F21" s="74" t="inlineStr">
        <is>
          <t>Full Swedish salaried doctoral contract (~33,000 SEK/month) + fully funded international research visits at top global labs (MIT, Stanford, Berkeley)</t>
        </is>
      </c>
      <c r="G21" s="74" t="inlineStr">
        <is>
          <t>ELIGIBLE</t>
        </is>
      </c>
      <c r="H21" s="74" t="inlineStr">
        <is>
          <t>EXCELLENT</t>
        </is>
      </c>
      <c r="I21" s="74" t="inlineStr">
        <is>
          <t>2026-11-15</t>
        </is>
      </c>
    </row>
    <row r="22">
      <c r="A22" s="71" t="inlineStr">
        <is>
          <t>Hong Kong</t>
        </is>
      </c>
      <c r="B22" s="72" t="inlineStr">
        <is>
          <t>All 8 Hong Kong Universities (RGC Scheme)</t>
        </is>
      </c>
      <c r="C22" s="71" t="inlineStr">
        <is>
          <t>Hong Kong PhD Fellowship Scheme (HKPFS)</t>
        </is>
      </c>
      <c r="D22" s="72" t="inlineStr">
        <is>
          <t>FULLY_FUNDED</t>
        </is>
      </c>
      <c r="E22" s="72" t="inlineStr">
        <is>
          <t>Varies by host university (fully waived or subsidized by university top-ups)</t>
        </is>
      </c>
      <c r="F22" s="72" t="inlineStr">
        <is>
          <t>HK$331,200 / year (approx. US$42,460)</t>
        </is>
      </c>
      <c r="G22" s="72" t="inlineStr">
        <is>
          <t>ELIGIBLE</t>
        </is>
      </c>
      <c r="H22" s="72" t="inlineStr">
        <is>
          <t>PERMITTED</t>
        </is>
      </c>
      <c r="I22" s="72" t="inlineStr">
        <is>
          <t>2026-12-01 12:00:00 HKT (Strict Initial Application to RGC)</t>
        </is>
      </c>
    </row>
    <row r="23">
      <c r="A23" s="73" t="inlineStr">
        <is>
          <t>Hong Kong</t>
        </is>
      </c>
      <c r="B23" s="74" t="inlineStr">
        <is>
          <t>The University of Hong Kong</t>
        </is>
      </c>
      <c r="C23" s="73" t="inlineStr">
        <is>
          <t>HKU Presidential PhD Scholarship (HKU-PS)</t>
        </is>
      </c>
      <c r="D23" s="74" t="inlineStr">
        <is>
          <t>FULLY_FUNDED</t>
        </is>
      </c>
      <c r="E23" s="74" t="inlineStr">
        <is>
          <t>Full tuition fee waiver of HK$42,100 / year</t>
        </is>
      </c>
      <c r="F23" s="74" t="inlineStr">
        <is>
          <t>Up to HK$441,400 in Year 1 (Cash award + PGS + travel subsidy)</t>
        </is>
      </c>
      <c r="G23" s="74" t="inlineStr">
        <is>
          <t>ELIGIBLE</t>
        </is>
      </c>
      <c r="H23" s="74" t="inlineStr">
        <is>
          <t>PERMITTED</t>
        </is>
      </c>
      <c r="I23" s="74" t="inlineStr">
        <is>
          <t>2026-12-01 23:59:59 HKT</t>
        </is>
      </c>
    </row>
    <row r="24">
      <c r="A24" s="71" t="inlineStr">
        <is>
          <t>Hong Kong</t>
        </is>
      </c>
      <c r="B24" s="72" t="inlineStr">
        <is>
          <t>The Hong Kong University of Science and Technology</t>
        </is>
      </c>
      <c r="C24" s="71" t="inlineStr">
        <is>
          <t>HKUST RedBird PhD Award &amp; Postgraduate Studentship (PGS)</t>
        </is>
      </c>
      <c r="D24" s="72" t="inlineStr">
        <is>
          <t>FULLY_FUNDED</t>
        </is>
      </c>
      <c r="E24" s="72" t="inlineStr">
        <is>
          <t>Tuition scholarship available for HKPFS recipients (HK$42,100/yr)</t>
        </is>
      </c>
      <c r="F24" s="72" t="inlineStr">
        <is>
          <t>HK$40,000 recruitment award + full annual PGS of HK$220,680 (approx HK$18,390/mo)</t>
        </is>
      </c>
      <c r="G24" s="72" t="inlineStr">
        <is>
          <t>ELIGIBLE</t>
        </is>
      </c>
      <c r="H24" s="72" t="inlineStr">
        <is>
          <t>PERMITTED</t>
        </is>
      </c>
      <c r="I24" s="72" t="inlineStr">
        <is>
          <t>2026-12-01 23:59:59 HKT</t>
        </is>
      </c>
    </row>
    <row r="25">
      <c r="A25" s="73" t="inlineStr">
        <is>
          <t>Hong Kong</t>
        </is>
      </c>
      <c r="B25" s="74" t="inlineStr">
        <is>
          <t>The Chinese University of Hong Kong</t>
        </is>
      </c>
      <c r="C25" s="73" t="inlineStr">
        <is>
          <t>CUHK Vice-Chancellor's PhD Scholarship Scheme</t>
        </is>
      </c>
      <c r="D25" s="74" t="inlineStr">
        <is>
          <t>FULLY_FUNDED</t>
        </is>
      </c>
      <c r="E25" s="74" t="inlineStr">
        <is>
          <t>Full tuition waiver of HK$42,100 / year for HKPFS recipients</t>
        </is>
      </c>
      <c r="F25" s="74" t="inlineStr">
        <is>
          <t>HK$40,000 - HK$80,000 award + tuition waiver + full studentship</t>
        </is>
      </c>
      <c r="G25" s="74" t="inlineStr">
        <is>
          <t>ELIGIBLE</t>
        </is>
      </c>
      <c r="H25" s="74" t="inlineStr">
        <is>
          <t>PERMITTED</t>
        </is>
      </c>
      <c r="I25" s="74" t="inlineStr">
        <is>
          <t>2026-12-01 23:59:59 HKT</t>
        </is>
      </c>
    </row>
    <row r="26">
      <c r="A26" s="71" t="inlineStr">
        <is>
          <t>Hong Kong</t>
        </is>
      </c>
      <c r="B26" s="72" t="inlineStr">
        <is>
          <t>The Hong Kong Polytechnic University</t>
        </is>
      </c>
      <c r="C26" s="71" t="inlineStr">
        <is>
          <t>PolyU Presidential PhD Fellowship Scheme (PPPFS)</t>
        </is>
      </c>
      <c r="D26" s="72" t="inlineStr">
        <is>
          <t>FULLY_FUNDED</t>
        </is>
      </c>
      <c r="E26" s="72" t="inlineStr">
        <is>
          <t>Full tuition waiver (HK$42,100 / year)</t>
        </is>
      </c>
      <c r="F26" s="72" t="inlineStr">
        <is>
          <t>Annual cash award of HK$40,000 + full tuition waiver + monthly stipend</t>
        </is>
      </c>
      <c r="G26" s="72" t="inlineStr">
        <is>
          <t>ELIGIBLE</t>
        </is>
      </c>
      <c r="H26" s="72" t="inlineStr">
        <is>
          <t>PERMITTED</t>
        </is>
      </c>
      <c r="I26" s="72" t="inlineStr">
        <is>
          <t>2026-12-01 23:59:59 HKT</t>
        </is>
      </c>
    </row>
    <row r="27">
      <c r="A27" s="73" t="inlineStr">
        <is>
          <t>Hong Kong</t>
        </is>
      </c>
      <c r="B27" s="74" t="inlineStr">
        <is>
          <t>City University of Hong Kong</t>
        </is>
      </c>
      <c r="C27" s="73" t="inlineStr">
        <is>
          <t>CityU Presidential PhD Scholarship (CBPS) &amp; PGS</t>
        </is>
      </c>
      <c r="D27" s="74" t="inlineStr">
        <is>
          <t>FULLY_FUNDED</t>
        </is>
      </c>
      <c r="E27" s="74" t="inlineStr">
        <is>
          <t>Institutional research tuition grant provided</t>
        </is>
      </c>
      <c r="F27" s="74" t="inlineStr">
        <is>
          <t>Monthly scholarship of HK$27,600 (HK$331,200/yr) + travel allowance</t>
        </is>
      </c>
      <c r="G27" s="74" t="inlineStr">
        <is>
          <t>ELIGIBLE</t>
        </is>
      </c>
      <c r="H27" s="74" t="inlineStr">
        <is>
          <t>PERMITTED</t>
        </is>
      </c>
      <c r="I27" s="74" t="inlineStr">
        <is>
          <t>2026-12-01 23:59:59 HKT</t>
        </is>
      </c>
    </row>
    <row r="28">
      <c r="A28" s="71" t="inlineStr">
        <is>
          <t>Hong Kong</t>
        </is>
      </c>
      <c r="B28" s="72" t="inlineStr">
        <is>
          <t>Hong Kong Baptist University</t>
        </is>
      </c>
      <c r="C28" s="71" t="inlineStr">
        <is>
          <t>HKBU Vice-Chancellor's PhD Fellowship Scheme</t>
        </is>
      </c>
      <c r="D28" s="72" t="inlineStr">
        <is>
          <t>FULLY_FUNDED</t>
        </is>
      </c>
      <c r="E28" s="72" t="inlineStr">
        <is>
          <t>Full waiver of tuition fee for HKPFS awardees</t>
        </is>
      </c>
      <c r="F28" s="72" t="inlineStr">
        <is>
          <t>HK$27,600 / month + tuition scholarship + research travel fund</t>
        </is>
      </c>
      <c r="G28" s="72" t="inlineStr">
        <is>
          <t>ELIGIBLE</t>
        </is>
      </c>
      <c r="H28" s="72" t="inlineStr">
        <is>
          <t>PERMITTED</t>
        </is>
      </c>
      <c r="I28" s="72" t="inlineStr">
        <is>
          <t>2026-12-01 23:59:59 HKT</t>
        </is>
      </c>
    </row>
    <row r="29">
      <c r="A29" s="73" t="inlineStr">
        <is>
          <t>Hong Kong</t>
        </is>
      </c>
      <c r="B29" s="74" t="inlineStr">
        <is>
          <t>Lingnan University</t>
        </is>
      </c>
      <c r="C29" s="73" t="inlineStr">
        <is>
          <t>Lingnan Full-Time Postgraduate Studentship (PGS) &amp; HKPFS</t>
        </is>
      </c>
      <c r="D29" s="74" t="inlineStr">
        <is>
          <t>FULLY_FUNDED</t>
        </is>
      </c>
      <c r="E29" s="74" t="inlineStr">
        <is>
          <t>Tuition scholarship available for top-ranked applicants</t>
        </is>
      </c>
      <c r="F29" s="74" t="inlineStr">
        <is>
          <t>Monthly studentship of HK$18,480 (or HK$27,600 for HKPFS awardees)</t>
        </is>
      </c>
      <c r="G29" s="74" t="inlineStr">
        <is>
          <t>ELIGIBLE</t>
        </is>
      </c>
      <c r="H29" s="74" t="inlineStr">
        <is>
          <t>PERMITTED</t>
        </is>
      </c>
      <c r="I29" s="74" t="inlineStr">
        <is>
          <t>2026-12-01 23:59:59 HKT</t>
        </is>
      </c>
    </row>
    <row r="30">
      <c r="A30" s="71" t="inlineStr">
        <is>
          <t>Hong Kong</t>
        </is>
      </c>
      <c r="B30" s="72" t="inlineStr">
        <is>
          <t>The Education University of Hong Kong</t>
        </is>
      </c>
      <c r="C30" s="71" t="inlineStr">
        <is>
          <t>EdUHK Research Postgraduate Studentship (RPgS)</t>
        </is>
      </c>
      <c r="D30" s="72" t="inlineStr">
        <is>
          <t>FULLY_FUNDED</t>
        </is>
      </c>
      <c r="E30" s="72" t="inlineStr">
        <is>
          <t>Tuition waivers available for distinguished students</t>
        </is>
      </c>
      <c r="F30" s="72" t="inlineStr">
        <is>
          <t>Monthly studentship of HK$18,200 (or HK$27,600 for HKPFS awardees)</t>
        </is>
      </c>
      <c r="G30" s="72" t="inlineStr">
        <is>
          <t>ELIGIBLE</t>
        </is>
      </c>
      <c r="H30" s="72" t="inlineStr">
        <is>
          <t>PERMITTED</t>
        </is>
      </c>
      <c r="I30" s="72" t="inlineStr">
        <is>
          <t>2026-12-01 23:59:59 HKT</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2026-10-03T03:30:15Z</dcterms:created>
  <dcterms:modified xmlns:dcterms="http://purl.org/dc/terms/" xmlns:xsi="http://www.w3.org/2001/XMLSchema-instance" xsi:type="dcterms:W3CDTF">2026-10-03T10:15:57Z</dcterms:modified>
</cp:coreProperties>
</file>