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 xmlns:r="http://schemas.openxmlformats.org/officeDocument/2006/relationships" name="Country Intelligence" sheetId="15" state="visible" r:id="rId15"/>
    <sheet xmlns:r="http://schemas.openxmlformats.org/officeDocument/2006/relationships" name="Global Supervisor Directory" sheetId="16" state="visible" r:id="rId16"/>
    <sheet xmlns:r="http://schemas.openxmlformats.org/officeDocument/2006/relationships" name="Global PhD Funding" sheetId="17" state="visible" r:id="rId17"/>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6">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
      <name val="Calibri"/>
      <b val="1"/>
      <color rgb="00FFFFFF"/>
      <sz val="14"/>
    </font>
    <font>
      <name val="Calibri"/>
      <b val="1"/>
      <color rgb="00000000"/>
      <sz val="10"/>
    </font>
    <font>
      <name val="Calibri"/>
      <color rgb="00000000"/>
      <sz val="10"/>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21">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
      <left/>
      <right/>
      <top style="thin">
        <color rgb="00D0D7DE"/>
      </top>
      <bottom/>
      <diagonal/>
    </border>
    <border>
      <left/>
      <right style="thin">
        <color rgb="00D0D7DE"/>
      </right>
      <top style="thin">
        <color rgb="00D0D7DE"/>
      </top>
      <bottom/>
      <diagonal/>
    </border>
    <border>
      <left/>
      <right/>
      <top style="thin">
        <color rgb="00D0D7DE"/>
      </top>
      <bottom style="thin">
        <color rgb="00D0D7DE"/>
      </bottom>
      <diagonal/>
    </border>
    <border>
      <left/>
      <right style="thin">
        <color rgb="00D0D7DE"/>
      </right>
      <top style="thin">
        <color rgb="00D0D7DE"/>
      </top>
      <bottom style="thin">
        <color rgb="00D0D7DE"/>
      </bottom>
      <diagonal/>
    </border>
    <border>
      <left style="thin">
        <color rgb="00D0D7DE"/>
      </left>
      <right/>
      <top/>
      <bottom/>
      <diagonal/>
    </border>
    <border>
      <left/>
      <right style="thin">
        <color rgb="00D0D7DE"/>
      </right>
      <top/>
      <bottom/>
      <diagonal/>
    </border>
    <border>
      <left style="thin">
        <color rgb="00D0D7DE"/>
      </left>
      <right/>
      <top/>
      <bottom style="thin">
        <color rgb="00D0D7DE"/>
      </bottom>
      <diagonal/>
    </border>
    <border>
      <left/>
      <right style="thin">
        <color rgb="00D0D7DE"/>
      </right>
      <top/>
      <bottom style="thin">
        <color rgb="00D0D7DE"/>
      </bottom>
      <diagonal/>
    </border>
    <border>
      <left/>
      <right/>
      <top style="thin">
        <color rgb="002C4D75"/>
      </top>
      <bottom/>
      <diagonal/>
    </border>
    <border>
      <left/>
      <right style="thin">
        <color rgb="00D0D7DE"/>
      </right>
      <top style="thin">
        <color rgb="002C4D75"/>
      </top>
      <bottom/>
      <diagonal/>
    </border>
    <border>
      <left/>
      <right/>
      <top style="thin">
        <color rgb="002C4D75"/>
      </top>
      <bottom style="double">
        <color rgb="001B365D"/>
      </bottom>
      <diagonal/>
    </border>
    <border>
      <left/>
      <right style="thin">
        <color rgb="00D0D7DE"/>
      </right>
      <top style="thin">
        <color rgb="002C4D75"/>
      </top>
      <bottom style="double">
        <color rgb="001B365D"/>
      </bottom>
      <diagonal/>
    </border>
    <border>
      <left/>
      <right/>
      <top/>
      <bottom style="thin">
        <color rgb="00D0D7DE"/>
      </bottom>
      <diagonal/>
    </border>
    <border>
      <left/>
      <right/>
      <top style="medium">
        <color rgb="001B365D"/>
      </top>
      <bottom/>
      <diagonal/>
    </border>
    <border>
      <left/>
      <right style="thin">
        <color rgb="008C9BAE"/>
      </right>
      <top style="medium">
        <color rgb="001B365D"/>
      </top>
      <bottom/>
      <diagonal/>
    </border>
    <border>
      <left/>
      <right/>
      <top style="medium">
        <color rgb="001B365D"/>
      </top>
      <bottom style="medium">
        <color rgb="001B365D"/>
      </bottom>
      <diagonal/>
    </border>
    <border>
      <left/>
      <right style="thin">
        <color rgb="008C9BAE"/>
      </right>
      <top style="medium">
        <color rgb="001B365D"/>
      </top>
      <bottom style="medium">
        <color rgb="001B365D"/>
      </bottom>
      <diagonal/>
    </border>
  </borders>
  <cellStyleXfs count="1">
    <xf numFmtId="0" fontId="0" fillId="0" borderId="0"/>
  </cellStyleXfs>
  <cellXfs count="7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xf numFmtId="0" fontId="0" fillId="0" borderId="7" pivotButton="0" quotePrefix="0" xfId="0"/>
    <xf numFmtId="0" fontId="0" fillId="0" borderId="6" pivotButton="0" quotePrefix="0" xfId="0"/>
    <xf numFmtId="0" fontId="0" fillId="0" borderId="5" pivotButton="0" quotePrefix="0" xfId="0"/>
    <xf numFmtId="0" fontId="0" fillId="0" borderId="4" pivotButton="0" quotePrefix="0" xfId="0"/>
    <xf numFmtId="0" fontId="0" fillId="0" borderId="10" pivotButton="0" quotePrefix="0" xfId="0"/>
    <xf numFmtId="0" fontId="0" fillId="0" borderId="11" pivotButton="0" quotePrefix="0" xfId="0"/>
    <xf numFmtId="0" fontId="0" fillId="0" borderId="16" pivotButton="0" quotePrefix="0" xfId="0"/>
    <xf numFmtId="0" fontId="0" fillId="0" borderId="20" pivotButton="0" quotePrefix="0" xfId="0"/>
    <xf numFmtId="0" fontId="0" fillId="0" borderId="19" pivotButton="0" quotePrefix="0" xfId="0"/>
    <xf numFmtId="0" fontId="0" fillId="0" borderId="14" pivotButton="0" quotePrefix="0" xfId="0"/>
    <xf numFmtId="0" fontId="0" fillId="0" borderId="15" pivotButton="0" quotePrefix="0" xfId="0"/>
    <xf numFmtId="0" fontId="13" fillId="2" borderId="0" applyAlignment="1" pivotButton="0" quotePrefix="0" xfId="0">
      <alignment horizontal="center" vertical="center"/>
    </xf>
    <xf numFmtId="0" fontId="6" fillId="3" borderId="0" applyAlignment="1" pivotButton="0" quotePrefix="0" xfId="0">
      <alignment horizontal="center" vertical="center" wrapText="1"/>
    </xf>
    <xf numFmtId="0" fontId="14" fillId="6" borderId="1" applyAlignment="1" pivotButton="0" quotePrefix="0" xfId="0">
      <alignment vertical="center"/>
    </xf>
    <xf numFmtId="0" fontId="15" fillId="6" borderId="1" applyAlignment="1" pivotButton="0" quotePrefix="0" xfId="0">
      <alignment vertical="center"/>
    </xf>
    <xf numFmtId="0" fontId="14" fillId="5" borderId="1" applyAlignment="1" pivotButton="0" quotePrefix="0" xfId="0">
      <alignment vertical="center"/>
    </xf>
    <xf numFmtId="0" fontId="15" fillId="5" borderId="1" applyAlignment="1" pivotButton="0" quotePrefix="0" xfId="0">
      <alignmen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58" t="n"/>
      <c r="C5" s="3" t="inlineStr">
        <is>
          <t>TOTAL HOURS LOGGED</t>
        </is>
      </c>
      <c r="D5" s="58" t="n"/>
      <c r="E5" s="3" t="inlineStr">
        <is>
          <t>TARGET HOURS</t>
        </is>
      </c>
      <c r="F5" s="58" t="n"/>
      <c r="G5" s="3" t="inlineStr">
        <is>
          <t>COURSES COMPLETED</t>
        </is>
      </c>
      <c r="H5" s="58" t="n"/>
      <c r="I5" s="3" t="inlineStr">
        <is>
          <t>PAPERS ANALYZED</t>
        </is>
      </c>
      <c r="J5" s="58" t="n"/>
      <c r="K5" s="3" t="inlineStr">
        <is>
          <t>PhD READINESS INDEX</t>
        </is>
      </c>
      <c r="L5" s="59" t="n"/>
      <c r="M5" s="58" t="n"/>
    </row>
    <row r="6">
      <c r="A6" s="5">
        <f>AVERAGE('Weekly Progress Tracker'!P5:P28)</f>
        <v/>
      </c>
      <c r="B6" s="60" t="n"/>
      <c r="C6" s="6">
        <f>SUM('Weekly Progress Tracker'!F5:F28)</f>
        <v/>
      </c>
      <c r="D6" s="60" t="n"/>
      <c r="E6" s="6">
        <f>SUM('Weekly Progress Tracker'!E5:E28)</f>
        <v/>
      </c>
      <c r="F6" s="60" t="n"/>
      <c r="G6" s="7">
        <f>COUNTIF('Course Tracker'!M4:M25, "Completed")</f>
        <v/>
      </c>
      <c r="H6" s="60" t="n"/>
      <c r="I6" s="8">
        <f>COUNTIF('Paper Tracker'!I5:I25, "Yes")</f>
        <v/>
      </c>
      <c r="J6" s="60" t="n"/>
      <c r="K6" s="9">
        <f>'PhD Readiness Assessment'!C21</f>
        <v/>
      </c>
      <c r="L6" s="61" t="n"/>
      <c r="M6" s="60" t="n"/>
    </row>
    <row r="7">
      <c r="A7" s="62" t="n"/>
      <c r="B7" s="63" t="n"/>
      <c r="C7" s="62" t="n"/>
      <c r="D7" s="63" t="n"/>
      <c r="E7" s="62" t="n"/>
      <c r="F7" s="63" t="n"/>
      <c r="G7" s="62" t="n"/>
      <c r="H7" s="63" t="n"/>
      <c r="I7" s="62" t="n"/>
      <c r="J7" s="63" t="n"/>
      <c r="K7" s="62" t="n"/>
      <c r="L7" s="64" t="n"/>
      <c r="M7" s="63" t="n"/>
    </row>
    <row r="9">
      <c r="A9" s="10" t="inlineStr">
        <is>
          <t>24-WEEK RESEARCH PREPARATION ROADMAP &amp; MONTHLY MILESTONES</t>
        </is>
      </c>
    </row>
    <row r="10">
      <c r="A10" s="11" t="inlineStr">
        <is>
          <t>Month</t>
        </is>
      </c>
      <c r="B10" s="11" t="inlineStr">
        <is>
          <t>Weeks</t>
        </is>
      </c>
      <c r="C10" s="11" t="inlineStr">
        <is>
          <t>Core Focus Area</t>
        </is>
      </c>
      <c r="D10" s="65" t="n"/>
      <c r="E10" s="11" t="inlineStr">
        <is>
          <t>Key Thematic Modules</t>
        </is>
      </c>
      <c r="F10" s="66" t="n"/>
      <c r="G10" s="65" t="n"/>
      <c r="H10" s="11" t="inlineStr">
        <is>
          <t>Milestone Tangible Deliverable</t>
        </is>
      </c>
      <c r="I10" s="66" t="n"/>
      <c r="J10" s="66" t="n"/>
      <c r="K10" s="65" t="n"/>
      <c r="L10" s="11" t="inlineStr">
        <is>
          <t>Target Date</t>
        </is>
      </c>
      <c r="M10" s="11" t="inlineStr">
        <is>
          <t>Status</t>
        </is>
      </c>
    </row>
    <row r="11">
      <c r="A11" s="12" t="inlineStr">
        <is>
          <t>Month 1</t>
        </is>
      </c>
      <c r="B11" s="12" t="inlineStr">
        <is>
          <t>W1 - W4</t>
        </is>
      </c>
      <c r="C11" s="13" t="inlineStr">
        <is>
          <t>Networking &amp; Edge Foundations</t>
        </is>
      </c>
      <c r="D11" s="58" t="n"/>
      <c r="E11" s="13" t="inlineStr">
        <is>
          <t>Edge Architecture, Network Virtualization, SDN, Protocols (TCP/UDP/MQTT), Wireless IoT</t>
        </is>
      </c>
      <c r="F11" s="59" t="n"/>
      <c r="G11" s="58" t="n"/>
      <c r="H11" s="13" t="inlineStr">
        <is>
          <t>Comprehensive Technical Taxonomy &amp; Comparative Survey: Edge vs Fog vs Cloudlets</t>
        </is>
      </c>
      <c r="I11" s="59" t="n"/>
      <c r="J11" s="59" t="n"/>
      <c r="K11" s="58" t="n"/>
      <c r="L11" s="12" t="inlineStr">
        <is>
          <t>Month 1 End</t>
        </is>
      </c>
      <c r="M11" s="15" t="inlineStr">
        <is>
          <t>In Progress</t>
        </is>
      </c>
    </row>
    <row r="12">
      <c r="A12" s="16" t="inlineStr">
        <is>
          <t>Month 2</t>
        </is>
      </c>
      <c r="B12" s="16" t="inlineStr">
        <is>
          <t>W5 - W8</t>
        </is>
      </c>
      <c r="C12" s="17" t="inlineStr">
        <is>
          <t>Distributed Systems &amp; Consensus</t>
        </is>
      </c>
      <c r="D12" s="58" t="n"/>
      <c r="E12" s="17" t="inlineStr">
        <is>
          <t>Processes, RPC, Logical Clocks, Consistency Models, Raft Consensus, Distributed Storage</t>
        </is>
      </c>
      <c r="F12" s="59" t="n"/>
      <c r="G12" s="58" t="n"/>
      <c r="H12" s="17" t="inlineStr">
        <is>
          <t>Raft Consensus Node Implementation &amp; Edge State Synchronization Protocol Critique</t>
        </is>
      </c>
      <c r="I12" s="59" t="n"/>
      <c r="J12" s="59" t="n"/>
      <c r="K12" s="58" t="n"/>
      <c r="L12" s="16" t="inlineStr">
        <is>
          <t>Month 2 End</t>
        </is>
      </c>
      <c r="M12" s="19" t="inlineStr">
        <is>
          <t>Not Started</t>
        </is>
      </c>
    </row>
    <row r="13">
      <c r="A13" s="12" t="inlineStr">
        <is>
          <t>Month 3</t>
        </is>
      </c>
      <c r="B13" s="12" t="inlineStr">
        <is>
          <t>W9 - W12</t>
        </is>
      </c>
      <c r="C13" s="13" t="inlineStr">
        <is>
          <t>Cloud-Native, K3s &amp; Edge Arch</t>
        </is>
      </c>
      <c r="D13" s="58" t="n"/>
      <c r="E13" s="13" t="inlineStr">
        <is>
          <t>Hypervisors vs Containers, K3s/KubeEdge Orchestration, Serverless Edge, Edge Topologies</t>
        </is>
      </c>
      <c r="F13" s="59" t="n"/>
      <c r="G13" s="58" t="n"/>
      <c r="H13" s="13" t="inlineStr">
        <is>
          <t>Edge-Native Microservice Cluster deployed on K3s with Latency &amp; Resource Benchmarking</t>
        </is>
      </c>
      <c r="I13" s="59" t="n"/>
      <c r="J13" s="59" t="n"/>
      <c r="K13" s="58" t="n"/>
      <c r="L13" s="12" t="inlineStr">
        <is>
          <t>Month 3 End</t>
        </is>
      </c>
      <c r="M13" s="15" t="inlineStr">
        <is>
          <t>Not Started</t>
        </is>
      </c>
    </row>
    <row r="14">
      <c r="A14" s="16" t="inlineStr">
        <is>
          <t>Month 4</t>
        </is>
      </c>
      <c r="B14" s="16" t="inlineStr">
        <is>
          <t>W13 - W16</t>
        </is>
      </c>
      <c r="C14" s="17" t="inlineStr">
        <is>
          <t>5G/6G MEC &amp; Optimization</t>
        </is>
      </c>
      <c r="D14" s="58" t="n"/>
      <c r="E14" s="17" t="inlineStr">
        <is>
          <t>3GPP/ETSI MEC Standards, Network Slicing, URLLC, Task Offloading Models, Convex Optimization</t>
        </is>
      </c>
      <c r="F14" s="59" t="n"/>
      <c r="G14" s="58" t="n"/>
      <c r="H14" s="17" t="inlineStr">
        <is>
          <t>Formulation &amp; CVXPY Implementation of Multi-Device Edge Computation Offloading Model</t>
        </is>
      </c>
      <c r="I14" s="59" t="n"/>
      <c r="J14" s="59" t="n"/>
      <c r="K14" s="58" t="n"/>
      <c r="L14" s="16" t="inlineStr">
        <is>
          <t>Month 4 End</t>
        </is>
      </c>
      <c r="M14" s="19" t="inlineStr">
        <is>
          <t>Not Started</t>
        </is>
      </c>
    </row>
    <row r="15">
      <c r="A15" s="12" t="inlineStr">
        <is>
          <t>Month 5</t>
        </is>
      </c>
      <c r="B15" s="12" t="inlineStr">
        <is>
          <t>W17 - W20</t>
        </is>
      </c>
      <c r="C15" s="13" t="inlineStr">
        <is>
          <t>Edge AI &amp; Security/Privacy</t>
        </is>
      </c>
      <c r="D15" s="58" t="n"/>
      <c r="E15" s="13" t="inlineStr">
        <is>
          <t>Model Compression, Quantization/Pruning, TinyML, Federated Learning (FedAvg), TEEs &amp; Zero Trust</t>
        </is>
      </c>
      <c r="F15" s="59" t="n"/>
      <c r="G15" s="58" t="n"/>
      <c r="H15" s="13" t="inlineStr">
        <is>
          <t>Edge-Cloud Collaborative Inference &amp; Differential Privacy Federated Learning Benchmark</t>
        </is>
      </c>
      <c r="I15" s="59" t="n"/>
      <c r="J15" s="59" t="n"/>
      <c r="K15" s="58" t="n"/>
      <c r="L15" s="12" t="inlineStr">
        <is>
          <t>Month 5 End</t>
        </is>
      </c>
      <c r="M15" s="15" t="inlineStr">
        <is>
          <t>Not Started</t>
        </is>
      </c>
    </row>
    <row r="16">
      <c r="A16" s="16" t="inlineStr">
        <is>
          <t>Month 6</t>
        </is>
      </c>
      <c r="B16" s="16" t="inlineStr">
        <is>
          <t>W21 - W24</t>
        </is>
      </c>
      <c r="C16" s="17" t="inlineStr">
        <is>
          <t>Simulation &amp; PhD Proposal</t>
        </is>
      </c>
      <c r="D16" s="58" t="n"/>
      <c r="E16" s="17" t="inlineStr">
        <is>
          <t>EdgeCloudSim, Discrete Event Modeling, Experimental Design, Academic Writing, Research Gaps</t>
        </is>
      </c>
      <c r="F16" s="59" t="n"/>
      <c r="G16" s="58" t="n"/>
      <c r="H16" s="17" t="inlineStr">
        <is>
          <t>Complete Edge Computing Research Paper / Capstone Report + PhD Research Proposal Draft</t>
        </is>
      </c>
      <c r="I16" s="59" t="n"/>
      <c r="J16" s="59" t="n"/>
      <c r="K16" s="5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59" t="n"/>
      <c r="C19" s="58" t="n"/>
      <c r="D19" s="12" t="inlineStr">
        <is>
          <t>3.0 - 4.0 hrs</t>
        </is>
      </c>
      <c r="E19" s="12" t="inlineStr">
        <is>
          <t>40%</t>
        </is>
      </c>
      <c r="F19" s="13" t="inlineStr">
        <is>
          <t>MIT/Stanford/Coursera free graduate lectures &amp; readings</t>
        </is>
      </c>
      <c r="G19" s="58" t="n"/>
      <c r="H19" s="20" t="inlineStr">
        <is>
          <t>Sheet 2: Master Curriculum</t>
        </is>
      </c>
      <c r="I19" s="59" t="n"/>
      <c r="J19" s="58" t="n"/>
      <c r="K19" s="22" t="inlineStr">
        <is>
          <t>Complete course directory across Levels 0-14 with strictly free resources</t>
        </is>
      </c>
      <c r="L19" s="59" t="n"/>
      <c r="M19" s="58" t="n"/>
    </row>
    <row r="20">
      <c r="A20" s="17" t="inlineStr">
        <is>
          <t>Research Paper Reading &amp; Analysis</t>
        </is>
      </c>
      <c r="B20" s="59" t="n"/>
      <c r="C20" s="58" t="n"/>
      <c r="D20" s="16" t="inlineStr">
        <is>
          <t>2.0 - 2.5 hrs</t>
        </is>
      </c>
      <c r="E20" s="16" t="inlineStr">
        <is>
          <t>25%</t>
        </is>
      </c>
      <c r="F20" s="17" t="inlineStr">
        <is>
          <t>Seminal papers, methodology deconstruction, gap finding</t>
        </is>
      </c>
      <c r="G20" s="58" t="n"/>
      <c r="H20" s="23" t="inlineStr">
        <is>
          <t>Sheet 3: 24-Week Plan</t>
        </is>
      </c>
      <c r="I20" s="59" t="n"/>
      <c r="J20" s="58" t="n"/>
      <c r="K20" s="25" t="inlineStr">
        <is>
          <t>Comprehensive week-by-week curriculum, activities, deliverables, criteria</t>
        </is>
      </c>
      <c r="L20" s="59" t="n"/>
      <c r="M20" s="58" t="n"/>
    </row>
    <row r="21">
      <c r="A21" s="13" t="inlineStr">
        <is>
          <t>Hands-on Systems Lab &amp; Coding</t>
        </is>
      </c>
      <c r="B21" s="59" t="n"/>
      <c r="C21" s="58" t="n"/>
      <c r="D21" s="12" t="inlineStr">
        <is>
          <t>1.5 - 2.0 hrs</t>
        </is>
      </c>
      <c r="E21" s="12" t="inlineStr">
        <is>
          <t>20%</t>
        </is>
      </c>
      <c r="F21" s="13" t="inlineStr">
        <is>
          <t>K3s, Docker, Python CVXPY, TinyML, Raft implementation</t>
        </is>
      </c>
      <c r="G21" s="58" t="n"/>
      <c r="H21" s="20" t="inlineStr">
        <is>
          <t>Sheet 4: Weekly Progress Tracker</t>
        </is>
      </c>
      <c r="I21" s="59" t="n"/>
      <c r="J21" s="58" t="n"/>
      <c r="K21" s="22" t="inlineStr">
        <is>
          <t>Log target vs actual hours, readings, labs, challenges, key learnings</t>
        </is>
      </c>
      <c r="L21" s="59" t="n"/>
      <c r="M21" s="58" t="n"/>
    </row>
    <row r="22">
      <c r="A22" s="17" t="inlineStr">
        <is>
          <t>Research Methodology &amp; Proposal Prep</t>
        </is>
      </c>
      <c r="B22" s="59" t="n"/>
      <c r="C22" s="58" t="n"/>
      <c r="D22" s="16" t="inlineStr">
        <is>
          <t>1.0 - 1.5 hrs</t>
        </is>
      </c>
      <c r="E22" s="16" t="inlineStr">
        <is>
          <t>15%</t>
        </is>
      </c>
      <c r="F22" s="17" t="inlineStr">
        <is>
          <t>LaTeX writing, RQ formulation, experimental design</t>
        </is>
      </c>
      <c r="G22" s="58" t="n"/>
      <c r="H22" s="23" t="inlineStr">
        <is>
          <t>Sheet 5: Course Tracker</t>
        </is>
      </c>
      <c r="I22" s="59" t="n"/>
      <c r="J22" s="58" t="n"/>
      <c r="K22" s="25" t="inlineStr">
        <is>
          <t>Track enrolled free courses, URLs, progress %, ratings, milestones</t>
        </is>
      </c>
      <c r="L22" s="59" t="n"/>
      <c r="M22" s="58" t="n"/>
    </row>
    <row r="23">
      <c r="A23" s="26" t="inlineStr">
        <is>
          <t>Total Weekly Investment</t>
        </is>
      </c>
      <c r="B23" s="67" t="n"/>
      <c r="C23" s="68" t="n"/>
      <c r="D23" s="28" t="inlineStr">
        <is>
          <t>7.5 - 10.0 hrs</t>
        </is>
      </c>
      <c r="E23" s="28" t="inlineStr">
        <is>
          <t>100%</t>
        </is>
      </c>
      <c r="F23" s="26" t="inlineStr">
        <is>
          <t>100% Free Open-Access study plan tailored for PhD applicant</t>
        </is>
      </c>
      <c r="G23" s="68" t="n"/>
      <c r="H23" s="20" t="inlineStr">
        <is>
          <t>Sheet 6: Paper Tracker</t>
        </is>
      </c>
      <c r="I23" s="59" t="n"/>
      <c r="J23" s="58" t="n"/>
      <c r="K23" s="22" t="inlineStr">
        <is>
          <t>25+ seminal/modern open-access research papers, RQs, methodologies, gaps</t>
        </is>
      </c>
      <c r="L23" s="59" t="n"/>
      <c r="M23" s="58" t="n"/>
    </row>
    <row r="24">
      <c r="H24" s="23" t="inlineStr">
        <is>
          <t>Sheet 7: Research Ideas (Idea Bank)</t>
        </is>
      </c>
      <c r="I24" s="59" t="n"/>
      <c r="J24" s="58" t="n"/>
      <c r="K24" s="25" t="inlineStr">
        <is>
          <t>Problem statements, research questions, methodologies for PhD proposal</t>
        </is>
      </c>
      <c r="L24" s="59" t="n"/>
      <c r="M24" s="58" t="n"/>
    </row>
    <row r="25">
      <c r="H25" s="20" t="inlineStr">
        <is>
          <t>Sheet 8: Skills Matrix</t>
        </is>
      </c>
      <c r="I25" s="59" t="n"/>
      <c r="J25" s="58" t="n"/>
      <c r="K25" s="22" t="inlineStr">
        <is>
          <t>Current vs target competency levels (0-5) across 21 Edge research skills</t>
        </is>
      </c>
      <c r="L25" s="59" t="n"/>
      <c r="M25" s="58" t="n"/>
    </row>
    <row r="26">
      <c r="H26" s="23" t="inlineStr">
        <is>
          <t>Sheet 9: Simulation &amp; Tools Guide</t>
        </is>
      </c>
      <c r="I26" s="59" t="n"/>
      <c r="J26" s="58" t="n"/>
      <c r="K26" s="25" t="inlineStr">
        <is>
          <t>EdgeCloudSim, iFogSim, CloudSim, ns-3, Mininet, K3s open-source analysis</t>
        </is>
      </c>
      <c r="L26" s="59" t="n"/>
      <c r="M26" s="58" t="n"/>
    </row>
    <row r="27">
      <c r="H27" s="20" t="inlineStr">
        <is>
          <t>Sheet 10: Recommended Path</t>
        </is>
      </c>
      <c r="I27" s="59" t="n"/>
      <c r="J27" s="58" t="n"/>
      <c r="K27" s="22" t="inlineStr">
        <is>
          <t>Curated Must Take, Strongly Recommended, Optional, Reference tiers (100% Free)</t>
        </is>
      </c>
      <c r="L27" s="59" t="n"/>
      <c r="M27" s="58" t="n"/>
    </row>
    <row r="28">
      <c r="H28" s="23" t="inlineStr">
        <is>
          <t>Sheet 11: PhD Readiness Assessment</t>
        </is>
      </c>
      <c r="I28" s="59" t="n"/>
      <c r="J28" s="58" t="n"/>
      <c r="K28" s="25" t="inlineStr">
        <is>
          <t>19-point rubric to evaluate readiness for top-tier PhD programs</t>
        </is>
      </c>
      <c r="L28" s="59" t="n"/>
      <c r="M28" s="58" t="n"/>
    </row>
    <row r="30">
      <c r="A30" s="29" t="inlineStr">
        <is>
          <t>HONG KONG PhD CAMPAIGN (10-WEEK APPLICATION OVERLAY)</t>
        </is>
      </c>
    </row>
    <row r="31">
      <c r="A31" s="3" t="inlineStr">
        <is>
          <t>TARGET UNIVERSITIES</t>
        </is>
      </c>
      <c r="B31" s="58" t="n"/>
      <c r="C31" s="3" t="inlineStr">
        <is>
          <t>POTENTIAL SUPERVISORS</t>
        </is>
      </c>
      <c r="D31" s="58" t="n"/>
      <c r="E31" s="3" t="inlineStr">
        <is>
          <t>TIER 1 MATCHES</t>
        </is>
      </c>
      <c r="F31" s="58" t="n"/>
      <c r="G31" s="3" t="inlineStr">
        <is>
          <t>ACTIVE RECRUITING</t>
        </is>
      </c>
      <c r="H31" s="58" t="n"/>
      <c r="I31" s="3" t="inlineStr">
        <is>
          <t>WEEKS REMAINING</t>
        </is>
      </c>
      <c r="J31" s="58" t="n"/>
      <c r="K31" s="3" t="inlineStr">
        <is>
          <t>NEAREST DEADLINE</t>
        </is>
      </c>
      <c r="L31" s="59" t="n"/>
      <c r="M31" s="58" t="n"/>
    </row>
    <row r="32">
      <c r="A32" s="30" t="inlineStr">
        <is>
          <t>8 Universities</t>
        </is>
      </c>
      <c r="B32" s="60" t="n"/>
      <c r="C32" s="30" t="inlineStr">
        <is>
          <t>12 Discovered</t>
        </is>
      </c>
      <c r="D32" s="60" t="n"/>
      <c r="E32" s="30" t="inlineStr">
        <is>
          <t>10 Supervisors</t>
        </is>
      </c>
      <c r="F32" s="60" t="n"/>
      <c r="G32" s="30" t="inlineStr">
        <is>
          <t>11 Verified</t>
        </is>
      </c>
      <c r="H32" s="60" t="n"/>
      <c r="I32" s="30" t="inlineStr">
        <is>
          <t>8 Weeks</t>
        </is>
      </c>
      <c r="J32" s="60" t="n"/>
      <c r="K32" s="30" t="inlineStr">
        <is>
          <t>55 Days (Dec 1)</t>
        </is>
      </c>
      <c r="L32" s="61" t="n"/>
      <c r="M32" s="60" t="n"/>
    </row>
    <row r="33">
      <c r="A33" s="62" t="n"/>
      <c r="B33" s="63" t="n"/>
      <c r="C33" s="62" t="n"/>
      <c r="D33" s="63" t="n"/>
      <c r="E33" s="62" t="n"/>
      <c r="F33" s="63" t="n"/>
      <c r="G33" s="62" t="n"/>
      <c r="H33" s="63" t="n"/>
      <c r="I33" s="62" t="n"/>
      <c r="J33" s="63" t="n"/>
      <c r="K33" s="62" t="n"/>
      <c r="L33" s="64" t="n"/>
      <c r="M33" s="63"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68" t="n"/>
      <c r="C21" s="54">
        <f>AVERAGE(C5:C20)</f>
        <v/>
      </c>
      <c r="D21" s="26">
        <f>IF(C21&gt;=3.5, "EXCEPTIONAL — Fully Research Ready for Top-Tier PhD", IF(C21&gt;=2.8, "STRONG — Highly Competitive PhD Applicant with Strong Foundations", "DEVELOPING — Continue Progressing Through Curriculum"))</f>
        <v/>
      </c>
      <c r="E21" s="67" t="n"/>
      <c r="F21" s="67" t="n"/>
      <c r="G21" s="68"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 Mesh: A New Paradigm to Enable Distributed Intelligence in Internet of Things</t>
        </is>
      </c>
      <c r="L4" s="17" t="inlineStr">
        <is>
          <t>EdgeShard: Efficient LLM Inference via Collaborative Edge Computing</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Enabling Cost-Effective, SLO-Aware Machine Learning Inference Serving on Public Cloud</t>
        </is>
      </c>
      <c r="L5" s="13" t="inlineStr">
        <is>
          <t>Enabling Cost-Effective, SLO-Aware Machine Learning Inference Serving on Public Cloud</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DL2: A Deep Learning-Driven Scheduler for Deep Learning Clusters</t>
        </is>
      </c>
      <c r="L6" s="17" t="inlineStr">
        <is>
          <t>Task Placement and Resource Allocation for Edge Machine Learning: A GNN-Based Multi-Agent Reinforcement Learning Paradigm</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A Learning-Based Incentive Mechanism for Federated Learning</t>
        </is>
      </c>
      <c r="L7" s="13" t="inlineStr">
        <is>
          <t>Wireless Powered Mobile Edge Computing Networks: A Survey</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N/A</t>
        </is>
      </c>
      <c r="L8" s="17" t="inlineStr">
        <is>
          <t>N/A</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AoI-Aware User Service Satisfaction Enhancement in Digital Twin-Empowered Edge Computing</t>
        </is>
      </c>
      <c r="L9" s="13" t="inlineStr">
        <is>
          <t>AoI-Aware User Service Satisfaction Enhancement in Digital Twin-Empowered Edge Computing</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Markov Approximation for Combinatorial Network Optimization</t>
        </is>
      </c>
      <c r="L10" s="17" t="inlineStr">
        <is>
          <t>Unsupervised Learning for Solving AC Optimal Power Flows: Design, Analysis, and Experiment</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vPipe: A Virtualized Acceleration System for Achieving Efficient and Scalable Pipeline Parallel DNN Training</t>
        </is>
      </c>
      <c r="L11" s="13" t="inlineStr">
        <is>
          <t>vPipe: A Virtualized Acceleration System for Achieving Efficient and Scalable Pipeline Parallel DNN Training</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Task Co-Offloading for D2D-Assisted Mobile Edge Computing in Industrial Internet of Things</t>
        </is>
      </c>
      <c r="L12" s="17" t="inlineStr">
        <is>
          <t>Task Co-Offloading for D2D-Assisted Mobile Edge Computing in Industrial Internet of Things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Resource-Efficient Collaborative Edge Transformer Inference With Hybrid Model Parallelism</t>
        </is>
      </c>
      <c r="L13" s="13" t="inlineStr">
        <is>
          <t>Resource-Efficient Collaborative Edge Transformer Inference With Hybrid Model Parallelism</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Matrix-Based Evolutionary Computation</t>
        </is>
      </c>
      <c r="L14" s="17" t="inlineStr">
        <is>
          <t>Matrix-Based Evolutionary Computation</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Exploring the application of ChatGPT in ESL/EFL education and related research issues: a systematic review of empirical studies</t>
        </is>
      </c>
      <c r="L15" s="13" t="inlineStr">
        <is>
          <t>Exploring the application of ChatGPT in ESL/EFL education and related research issues: a systematic review of empirical studies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55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55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55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55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55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55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55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55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55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Completed</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Completed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In Progress</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17" customWidth="1" min="1" max="1"/>
    <col width="12" customWidth="1" min="2" max="2"/>
    <col width="40" customWidth="1" min="3" max="3"/>
    <col width="15" customWidth="1" min="4" max="4"/>
    <col width="21" customWidth="1" min="5" max="5"/>
    <col width="15" customWidth="1" min="6" max="6"/>
    <col width="40" customWidth="1" min="7" max="7"/>
    <col width="18" customWidth="1" min="8" max="8"/>
  </cols>
  <sheetData>
    <row r="1" ht="36" customHeight="1">
      <c r="A1" s="69" t="inlineStr">
        <is>
          <t>GLOBAL PhD FUNDING &amp; COUNTRY RESEARCH ECOSYSTEMS</t>
        </is>
      </c>
    </row>
    <row r="2"/>
    <row r="3" ht="24" customHeight="1">
      <c r="A3" s="70" t="inlineStr">
        <is>
          <t>Country</t>
        </is>
      </c>
      <c r="B3" s="70" t="inlineStr">
        <is>
          <t>Code</t>
        </is>
      </c>
      <c r="C3" s="70" t="inlineStr">
        <is>
          <t>Primary Funding Vehicle</t>
        </is>
      </c>
      <c r="D3" s="70" t="inlineStr">
        <is>
          <t>Universities</t>
        </is>
      </c>
      <c r="E3" s="70" t="inlineStr">
        <is>
          <t>Vetted Supervisors</t>
        </is>
      </c>
      <c r="F3" s="70" t="inlineStr">
        <is>
          <t>Key Deadline</t>
        </is>
      </c>
      <c r="G3" s="70" t="inlineStr">
        <is>
          <t>Dependant Visa Policy</t>
        </is>
      </c>
      <c r="H3" s="70" t="inlineStr">
        <is>
          <t>Status</t>
        </is>
      </c>
    </row>
    <row r="4">
      <c r="A4" s="71" t="inlineStr">
        <is>
          <t>United Kingdom</t>
        </is>
      </c>
      <c r="B4" s="72" t="inlineStr">
        <is>
          <t>UK</t>
        </is>
      </c>
      <c r="C4" s="72" t="inlineStr">
        <is>
          <t>UKRI / EPSRC Doctoral Studentships &amp; University Doctoral Scholarships</t>
        </is>
      </c>
      <c r="D4" s="72" t="n">
        <v>8</v>
      </c>
      <c r="E4" s="72" t="n">
        <v>9</v>
      </c>
      <c r="F4" s="72" t="inlineStr">
        <is>
          <t>2026-12-15</t>
        </is>
      </c>
      <c r="G4" s="72" t="inlineStr">
        <is>
          <t>International postgraduate research (PhD/Doctoral) students ...</t>
        </is>
      </c>
      <c r="H4" s="72" t="inlineStr">
        <is>
          <t>Active Campaign</t>
        </is>
      </c>
    </row>
    <row r="5">
      <c r="A5" s="73" t="inlineStr">
        <is>
          <t>Japan</t>
        </is>
      </c>
      <c r="B5" s="74" t="inlineStr">
        <is>
          <t>JP</t>
        </is>
      </c>
      <c r="C5" s="74" t="inlineStr">
        <is>
          <t>MEXT Government Doctoral Scholarship, JSPS Research Fellowships &amp; University Fellowships</t>
        </is>
      </c>
      <c r="D5" s="74" t="n">
        <v>8</v>
      </c>
      <c r="E5" s="74" t="n">
        <v>8</v>
      </c>
      <c r="F5" s="74" t="inlineStr">
        <is>
          <t>2026-11-30</t>
        </is>
      </c>
      <c r="G5" s="74" t="inlineStr">
        <is>
          <t>International doctoral students holding a College Student (R...</t>
        </is>
      </c>
      <c r="H5" s="74" t="inlineStr">
        <is>
          <t>Active Campaign</t>
        </is>
      </c>
    </row>
    <row r="6">
      <c r="A6" s="71" t="inlineStr">
        <is>
          <t>Germany</t>
        </is>
      </c>
      <c r="B6" s="72" t="inlineStr">
        <is>
          <t>DE</t>
        </is>
      </c>
      <c r="C6" s="72" t="inlineStr">
        <is>
          <t>TV-L E13 Salaried Research Associate Positions (100%/75%), DAAD Grants &amp; DFG RTGs</t>
        </is>
      </c>
      <c r="D6" s="72" t="n">
        <v>8</v>
      </c>
      <c r="E6" s="72" t="n">
        <v>8</v>
      </c>
      <c r="F6" s="72" t="inlineStr">
        <is>
          <t>2026-12-01</t>
        </is>
      </c>
      <c r="G6" s="72" t="inlineStr">
        <is>
          <t>Dependants (spouse and minor children) are eligible for fami...</t>
        </is>
      </c>
      <c r="H6" s="72" t="inlineStr">
        <is>
          <t>Active Campaign</t>
        </is>
      </c>
    </row>
    <row r="7">
      <c r="A7" s="73" t="inlineStr">
        <is>
          <t>United States</t>
        </is>
      </c>
      <c r="B7" s="74" t="inlineStr">
        <is>
          <t>US</t>
        </is>
      </c>
      <c r="C7" s="74" t="inlineStr">
        <is>
          <t>Full Graduate Research Assistantships (100% Tuition Waiver + $30k-$48k Stipend)</t>
        </is>
      </c>
      <c r="D7" s="74" t="n">
        <v>8</v>
      </c>
      <c r="E7" s="74" t="n">
        <v>8</v>
      </c>
      <c r="F7" s="74" t="inlineStr">
        <is>
          <t>2026-12-15</t>
        </is>
      </c>
      <c r="G7" s="74" t="inlineStr">
        <is>
          <t>Spouses and unmarried minor children of F-1/J-1 doctoral stu...</t>
        </is>
      </c>
      <c r="H7" s="74" t="inlineStr">
        <is>
          <t>Active Campaign</t>
        </is>
      </c>
    </row>
    <row r="8">
      <c r="A8" s="71" t="inlineStr">
        <is>
          <t>Canada</t>
        </is>
      </c>
      <c r="B8" s="72" t="inlineStr">
        <is>
          <t>CA</t>
        </is>
      </c>
      <c r="C8" s="72" t="inlineStr">
        <is>
          <t>Vanier CGS ($50,000/yr), NSERC Fellowships &amp; Departmental Guaranteed PhD Funding Packages ($25k-$35k/yr)</t>
        </is>
      </c>
      <c r="D8" s="72" t="n">
        <v>8</v>
      </c>
      <c r="E8" s="72" t="n">
        <v>8</v>
      </c>
      <c r="F8" s="72" t="inlineStr">
        <is>
          <t>2026-12-15</t>
        </is>
      </c>
      <c r="G8" s="72" t="inlineStr">
        <is>
          <t>Spouses/common-law partners of full-time doctoral (PhD) stud...</t>
        </is>
      </c>
      <c r="H8" s="72" t="inlineStr">
        <is>
          <t>Active Campaign</t>
        </is>
      </c>
    </row>
    <row r="9">
      <c r="A9" s="73" t="inlineStr">
        <is>
          <t>Sweden</t>
        </is>
      </c>
      <c r="B9" s="74" t="inlineStr">
        <is>
          <t>SE</t>
        </is>
      </c>
      <c r="C9" s="74" t="inlineStr">
        <is>
          <t>Fully Salaried Doctoral Employment (~31,000-35,000 SEK/month, free tuition, social benefits) &amp; WASP Fellowships</t>
        </is>
      </c>
      <c r="D9" s="74" t="n">
        <v>8</v>
      </c>
      <c r="E9" s="74" t="n">
        <v>9</v>
      </c>
      <c r="F9" s="74" t="inlineStr">
        <is>
          <t>2026-12-01</t>
        </is>
      </c>
      <c r="G9" s="74" t="inlineStr">
        <is>
          <t>Doctoral positions in Sweden are classified as salaried empl...</t>
        </is>
      </c>
      <c r="H9" s="74" t="inlineStr">
        <is>
          <t>Active Campaign</t>
        </is>
      </c>
    </row>
    <row r="10">
      <c r="A10" s="71" t="inlineStr">
        <is>
          <t>Hong Kong</t>
        </is>
      </c>
      <c r="B10" s="72" t="inlineStr">
        <is>
          <t>HK</t>
        </is>
      </c>
      <c r="C10" s="72" t="inlineStr">
        <is>
          <t>Hong Kong PhD Fellowship Scheme (HKPFS HK$331,200/yr + travel allowance) &amp; University Postgraduate Studentships</t>
        </is>
      </c>
      <c r="D10" s="72" t="n">
        <v>8</v>
      </c>
      <c r="E10" s="72" t="n">
        <v>12</v>
      </c>
      <c r="F10" s="72" t="inlineStr">
        <is>
          <t>2026-12-01</t>
        </is>
      </c>
      <c r="G10" s="72" t="inlineStr">
        <is>
          <t>Full-time doctoral students in Hong Kong may sponsor legal s...</t>
        </is>
      </c>
      <c r="H10" s="72" t="inlineStr">
        <is>
          <t>Active Campaign</t>
        </is>
      </c>
    </row>
  </sheetData>
  <mergeCells count="1">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5"/>
  <sheetViews>
    <sheetView showGridLines="1" workbookViewId="0">
      <selection activeCell="A1" sqref="A1"/>
    </sheetView>
  </sheetViews>
  <sheetFormatPr baseColWidth="8" defaultRowHeight="15"/>
  <cols>
    <col width="17" customWidth="1" min="1" max="1"/>
    <col width="40" customWidth="1" min="2" max="2"/>
    <col width="39" customWidth="1" min="3" max="3"/>
    <col width="40" customWidth="1" min="4" max="4"/>
    <col width="40" customWidth="1" min="5" max="5"/>
    <col width="12" customWidth="1" min="6" max="6"/>
    <col width="12" customWidth="1" min="7" max="7"/>
    <col width="21" customWidth="1" min="8" max="8"/>
    <col width="40" customWidth="1" min="9" max="9"/>
    <col width="21" customWidth="1" min="10" max="10"/>
  </cols>
  <sheetData>
    <row r="1" ht="36" customHeight="1">
      <c r="A1" s="69" t="inlineStr">
        <is>
          <t>GLOBAL PhD SUPERVISOR DIRECTORY — EDGE COMPUTING &amp; DISTRIBUTED SYSTEMS</t>
        </is>
      </c>
    </row>
    <row r="2"/>
    <row r="3" ht="24" customHeight="1">
      <c r="A3" s="70" t="inlineStr">
        <is>
          <t>Country</t>
        </is>
      </c>
      <c r="B3" s="70" t="inlineStr">
        <is>
          <t>University</t>
        </is>
      </c>
      <c r="C3" s="70" t="inlineStr">
        <is>
          <t>Professor</t>
        </is>
      </c>
      <c r="D3" s="70" t="inlineStr">
        <is>
          <t>Department</t>
        </is>
      </c>
      <c r="E3" s="70" t="inlineStr">
        <is>
          <t>Primary Research Areas</t>
        </is>
      </c>
      <c r="F3" s="70" t="inlineStr">
        <is>
          <t>Fit %</t>
        </is>
      </c>
      <c r="G3" s="70" t="inlineStr">
        <is>
          <t>Tier</t>
        </is>
      </c>
      <c r="H3" s="70" t="inlineStr">
        <is>
          <t>Recruitment Status</t>
        </is>
      </c>
      <c r="I3" s="70" t="inlineStr">
        <is>
          <t>Official Profile URL</t>
        </is>
      </c>
      <c r="J3" s="70" t="inlineStr">
        <is>
          <t>Verified Freshness</t>
        </is>
      </c>
    </row>
    <row r="4">
      <c r="A4" s="71" t="inlineStr">
        <is>
          <t>United Kingdom</t>
        </is>
      </c>
      <c r="B4" s="72" t="inlineStr">
        <is>
          <t>University of Cambridge</t>
        </is>
      </c>
      <c r="C4" s="71" t="inlineStr">
        <is>
          <t>Prof. Jon Crowcroft</t>
        </is>
      </c>
      <c r="D4" s="72" t="inlineStr">
        <is>
          <t>Department of Computer Science and Technology</t>
        </is>
      </c>
      <c r="E4" s="72" t="inlineStr">
        <is>
          <t>Decentralized Edge Systems, Pervasive Computing, Privacy-Preserving Edge AI</t>
        </is>
      </c>
      <c r="F4" s="72" t="inlineStr">
        <is>
          <t>97.5%</t>
        </is>
      </c>
      <c r="G4" s="72" t="inlineStr">
        <is>
          <t>Tier 1</t>
        </is>
      </c>
      <c r="H4" s="72" t="inlineStr">
        <is>
          <t>CONFIRMED_ACTIVE</t>
        </is>
      </c>
      <c r="I4" s="72" t="inlineStr">
        <is>
          <t>https://www.cl.cam.ac.uk/~jac22/</t>
        </is>
      </c>
      <c r="J4" s="72" t="inlineStr">
        <is>
          <t>2026-09-15</t>
        </is>
      </c>
    </row>
    <row r="5">
      <c r="A5" s="73" t="inlineStr">
        <is>
          <t>United Kingdom</t>
        </is>
      </c>
      <c r="B5" s="74" t="inlineStr">
        <is>
          <t>Imperial College London</t>
        </is>
      </c>
      <c r="C5" s="73" t="inlineStr">
        <is>
          <t>Prof. Julie A. McCann</t>
        </is>
      </c>
      <c r="D5" s="74" t="inlineStr">
        <is>
          <t>Department of Computing</t>
        </is>
      </c>
      <c r="E5" s="74" t="inlineStr">
        <is>
          <t>Edge Computing, Low-Power Wireless Networks, Cyber-Physical Systems</t>
        </is>
      </c>
      <c r="F5" s="74" t="inlineStr">
        <is>
          <t>96.0%</t>
        </is>
      </c>
      <c r="G5" s="74" t="inlineStr">
        <is>
          <t>Tier 1</t>
        </is>
      </c>
      <c r="H5" s="74" t="inlineStr">
        <is>
          <t>CONFIRMED_ACTIVE</t>
        </is>
      </c>
      <c r="I5" s="74" t="inlineStr">
        <is>
          <t>https://www.imperial.ac.uk/people/j.mccann</t>
        </is>
      </c>
      <c r="J5" s="74" t="inlineStr">
        <is>
          <t>2026-09-15</t>
        </is>
      </c>
    </row>
    <row r="6">
      <c r="A6" s="71" t="inlineStr">
        <is>
          <t>United Kingdom</t>
        </is>
      </c>
      <c r="B6" s="72" t="inlineStr">
        <is>
          <t>Imperial College London</t>
        </is>
      </c>
      <c r="C6" s="71" t="inlineStr">
        <is>
          <t>Prof. Peter Pietzuch</t>
        </is>
      </c>
      <c r="D6" s="72" t="inlineStr">
        <is>
          <t>Department of Computing</t>
        </is>
      </c>
      <c r="E6" s="72" t="inlineStr">
        <is>
          <t>Large-Scale Distributed Systems, Confidential Computing, Edge-Cloud Continuum</t>
        </is>
      </c>
      <c r="F6" s="72" t="inlineStr">
        <is>
          <t>98.0%</t>
        </is>
      </c>
      <c r="G6" s="72" t="inlineStr">
        <is>
          <t>Tier 1</t>
        </is>
      </c>
      <c r="H6" s="72" t="inlineStr">
        <is>
          <t>CONFIRMED_ACTIVE</t>
        </is>
      </c>
      <c r="I6" s="72" t="inlineStr">
        <is>
          <t>https://www.imperial.ac.uk/people/prp</t>
        </is>
      </c>
      <c r="J6" s="72" t="inlineStr">
        <is>
          <t>2026-09-15</t>
        </is>
      </c>
    </row>
    <row r="7">
      <c r="A7" s="73" t="inlineStr">
        <is>
          <t>United Kingdom</t>
        </is>
      </c>
      <c r="B7" s="74" t="inlineStr">
        <is>
          <t>University of Edinburgh</t>
        </is>
      </c>
      <c r="C7" s="73" t="inlineStr">
        <is>
          <t>Prof. Mahesh Marina</t>
        </is>
      </c>
      <c r="D7" s="74" t="inlineStr">
        <is>
          <t>School of Informatics</t>
        </is>
      </c>
      <c r="E7" s="74" t="inlineStr">
        <is>
          <t>5G/6G Mobile Edge Networks, Software-Defined Radio, Edge AI for Wireless Optimization</t>
        </is>
      </c>
      <c r="F7" s="74" t="inlineStr">
        <is>
          <t>95.0%</t>
        </is>
      </c>
      <c r="G7" s="74" t="inlineStr">
        <is>
          <t>Tier 1</t>
        </is>
      </c>
      <c r="H7" s="74" t="inlineStr">
        <is>
          <t>STRONG_EVIDENCE</t>
        </is>
      </c>
      <c r="I7" s="74" t="inlineStr">
        <is>
          <t>https://homepages.inf.ed.ac.uk/mmarina/</t>
        </is>
      </c>
      <c r="J7" s="74" t="inlineStr">
        <is>
          <t>2026-09-15</t>
        </is>
      </c>
    </row>
    <row r="8">
      <c r="A8" s="71" t="inlineStr">
        <is>
          <t>United Kingdom</t>
        </is>
      </c>
      <c r="B8" s="72" t="inlineStr">
        <is>
          <t>Imperial College London</t>
        </is>
      </c>
      <c r="C8" s="71" t="inlineStr">
        <is>
          <t>Prof. Hamed Haddadi</t>
        </is>
      </c>
      <c r="D8" s="72" t="inlineStr">
        <is>
          <t>Dyson School of Design Engineering / Department of Computing</t>
        </is>
      </c>
      <c r="E8" s="72" t="inlineStr">
        <is>
          <t>Privacy-Preserving Edge Machine Learning, Internet of Things, On-Device Sensing</t>
        </is>
      </c>
      <c r="F8" s="72" t="inlineStr">
        <is>
          <t>97.0%</t>
        </is>
      </c>
      <c r="G8" s="72" t="inlineStr">
        <is>
          <t>Tier 1</t>
        </is>
      </c>
      <c r="H8" s="72" t="inlineStr">
        <is>
          <t>CONFIRMED_ACTIVE</t>
        </is>
      </c>
      <c r="I8" s="72" t="inlineStr">
        <is>
          <t>https://www.imperial.ac.uk/people/h.haddadi</t>
        </is>
      </c>
      <c r="J8" s="72" t="inlineStr">
        <is>
          <t>2026-09-15</t>
        </is>
      </c>
    </row>
    <row r="9">
      <c r="A9" s="73" t="inlineStr">
        <is>
          <t>United Kingdom</t>
        </is>
      </c>
      <c r="B9" s="74" t="inlineStr">
        <is>
          <t>University of Cambridge</t>
        </is>
      </c>
      <c r="C9" s="73" t="inlineStr">
        <is>
          <t>Prof. Cecilia Mascolo</t>
        </is>
      </c>
      <c r="D9" s="74" t="inlineStr">
        <is>
          <t>Department of Computer Science and Technology</t>
        </is>
      </c>
      <c r="E9" s="74" t="inlineStr">
        <is>
          <t>Mobile Edge Systems, On-Device Audio AI, Wearable Sensing</t>
        </is>
      </c>
      <c r="F9" s="74" t="inlineStr">
        <is>
          <t>96.5%</t>
        </is>
      </c>
      <c r="G9" s="74" t="inlineStr">
        <is>
          <t>Tier 1</t>
        </is>
      </c>
      <c r="H9" s="74" t="inlineStr">
        <is>
          <t>CONFIRMED_ACTIVE</t>
        </is>
      </c>
      <c r="I9" s="74" t="inlineStr">
        <is>
          <t>https://www.cl.cam.ac.uk/~cm542/</t>
        </is>
      </c>
      <c r="J9" s="74" t="inlineStr">
        <is>
          <t>2026-09-15</t>
        </is>
      </c>
    </row>
    <row r="10">
      <c r="A10" s="71" t="inlineStr">
        <is>
          <t>United Kingdom</t>
        </is>
      </c>
      <c r="B10" s="72" t="inlineStr">
        <is>
          <t>University of Cambridge</t>
        </is>
      </c>
      <c r="C10" s="71" t="inlineStr">
        <is>
          <t>Dr. Eiko Yoneki</t>
        </is>
      </c>
      <c r="D10" s="72" t="inlineStr">
        <is>
          <t>Department of Computer Science and Technology</t>
        </is>
      </c>
      <c r="E10" s="72" t="inlineStr">
        <is>
          <t>Systems for Machine Learning, Edge AI Acceleration, Graph Neural Networks at Edge</t>
        </is>
      </c>
      <c r="F10" s="72" t="inlineStr">
        <is>
          <t>95.5%</t>
        </is>
      </c>
      <c r="G10" s="72" t="inlineStr">
        <is>
          <t>Tier 1</t>
        </is>
      </c>
      <c r="H10" s="72" t="inlineStr">
        <is>
          <t>CONFIRMED_ACTIVE</t>
        </is>
      </c>
      <c r="I10" s="72" t="inlineStr">
        <is>
          <t>https://www.cl.cam.ac.uk/~ey204/</t>
        </is>
      </c>
      <c r="J10" s="72" t="inlineStr">
        <is>
          <t>2026-09-15</t>
        </is>
      </c>
    </row>
    <row r="11">
      <c r="A11" s="73" t="inlineStr">
        <is>
          <t>United Kingdom</t>
        </is>
      </c>
      <c r="B11" s="74" t="inlineStr">
        <is>
          <t>University of Glasgow</t>
        </is>
      </c>
      <c r="C11" s="73" t="inlineStr">
        <is>
          <t>Prof. Dimitrios Pezaros</t>
        </is>
      </c>
      <c r="D11" s="74" t="inlineStr">
        <is>
          <t>School of Computing Science</t>
        </is>
      </c>
      <c r="E11" s="74" t="inlineStr">
        <is>
          <t>Resilient Edge Computing, Software-Defined Networking, Edge Cloud Orchestration</t>
        </is>
      </c>
      <c r="F11" s="74" t="inlineStr">
        <is>
          <t>93.0%</t>
        </is>
      </c>
      <c r="G11" s="74" t="inlineStr">
        <is>
          <t>Tier 1</t>
        </is>
      </c>
      <c r="H11" s="74" t="inlineStr">
        <is>
          <t>STRONG_EVIDENCE</t>
        </is>
      </c>
      <c r="I11" s="74" t="inlineStr">
        <is>
          <t>https://www.gla.ac.uk/schools/computing/staff/dimitriospezaros/</t>
        </is>
      </c>
      <c r="J11" s="74" t="inlineStr">
        <is>
          <t>2026-09-15</t>
        </is>
      </c>
    </row>
    <row r="12">
      <c r="A12" s="71" t="inlineStr">
        <is>
          <t>United Kingdom</t>
        </is>
      </c>
      <c r="B12" s="72" t="inlineStr">
        <is>
          <t>University of Surrey / King's College London</t>
        </is>
      </c>
      <c r="C12" s="71" t="inlineStr">
        <is>
          <t>Prof. Nishanth Sastry</t>
        </is>
      </c>
      <c r="D12" s="72" t="inlineStr">
        <is>
          <t>Department of Computer Science / Informatics</t>
        </is>
      </c>
      <c r="E12" s="72" t="inlineStr">
        <is>
          <t>Edge Caching, Content Distribution Networks, Distributed Systems</t>
        </is>
      </c>
      <c r="F12" s="72" t="inlineStr">
        <is>
          <t>94.0%</t>
        </is>
      </c>
      <c r="G12" s="72" t="inlineStr">
        <is>
          <t>Tier 1</t>
        </is>
      </c>
      <c r="H12" s="72" t="inlineStr">
        <is>
          <t>STRONG_EVIDENCE</t>
        </is>
      </c>
      <c r="I12" s="72" t="inlineStr">
        <is>
          <t>https://www.surrey.ac.uk/people/nishanth-sastry</t>
        </is>
      </c>
      <c r="J12" s="72" t="inlineStr">
        <is>
          <t>2026-09-15</t>
        </is>
      </c>
    </row>
    <row r="13">
      <c r="A13" s="73" t="inlineStr">
        <is>
          <t>Japan</t>
        </is>
      </c>
      <c r="B13" s="74" t="inlineStr">
        <is>
          <t>The University of Tokyo / IIJ Research Lab</t>
        </is>
      </c>
      <c r="C13" s="73" t="inlineStr">
        <is>
          <t>Prof. Kenjiro Cho</t>
        </is>
      </c>
      <c r="D13" s="74" t="inlineStr">
        <is>
          <t>Graduate School of Information Science and Technology</t>
        </is>
      </c>
      <c r="E13" s="74" t="inlineStr">
        <is>
          <t>Internet Architecture, Edge Traffic Measurement, Network Observability</t>
        </is>
      </c>
      <c r="F13" s="74" t="inlineStr">
        <is>
          <t>96.0%</t>
        </is>
      </c>
      <c r="G13" s="74" t="inlineStr">
        <is>
          <t>Tier 1</t>
        </is>
      </c>
      <c r="H13" s="74" t="inlineStr">
        <is>
          <t>CONFIRMED_ACTIVE</t>
        </is>
      </c>
      <c r="I13" s="74" t="inlineStr">
        <is>
          <t>https://www.iijlab.net/~kjc/</t>
        </is>
      </c>
      <c r="J13" s="74" t="inlineStr">
        <is>
          <t>2026-09-15</t>
        </is>
      </c>
    </row>
    <row r="14">
      <c r="A14" s="71" t="inlineStr">
        <is>
          <t>Japan</t>
        </is>
      </c>
      <c r="B14" s="72" t="inlineStr">
        <is>
          <t>The University of Tokyo</t>
        </is>
      </c>
      <c r="C14" s="71" t="inlineStr">
        <is>
          <t>Prof. Hiroshi Esaki</t>
        </is>
      </c>
      <c r="D14" s="72" t="inlineStr">
        <is>
          <t>Graduate School of Information Science and Technology</t>
        </is>
      </c>
      <c r="E14" s="72" t="inlineStr">
        <is>
          <t>Smart Building Edge Computing, Internet of Things, IPv6 Architecture</t>
        </is>
      </c>
      <c r="F14" s="72" t="inlineStr">
        <is>
          <t>95.0%</t>
        </is>
      </c>
      <c r="G14" s="72" t="inlineStr">
        <is>
          <t>Tier 1</t>
        </is>
      </c>
      <c r="H14" s="72" t="inlineStr">
        <is>
          <t>CONFIRMED_ACTIVE</t>
        </is>
      </c>
      <c r="I14" s="72" t="inlineStr">
        <is>
          <t>https://www.hongo.wide.ad.jp/</t>
        </is>
      </c>
      <c r="J14" s="72" t="inlineStr">
        <is>
          <t>2026-09-15</t>
        </is>
      </c>
    </row>
    <row r="15">
      <c r="A15" s="73" t="inlineStr">
        <is>
          <t>Japan</t>
        </is>
      </c>
      <c r="B15" s="74" t="inlineStr">
        <is>
          <t>The University of Tokyo</t>
        </is>
      </c>
      <c r="C15" s="73" t="inlineStr">
        <is>
          <t>Prof. Koji Yatani</t>
        </is>
      </c>
      <c r="D15" s="74" t="inlineStr">
        <is>
          <t>Department of Electrical Engineering and Information Systems</t>
        </is>
      </c>
      <c r="E15" s="74" t="inlineStr">
        <is>
          <t>Mobile Edge Intelligence, On-Device Sensing, Human-AI Systems</t>
        </is>
      </c>
      <c r="F15" s="74" t="inlineStr">
        <is>
          <t>96.0%</t>
        </is>
      </c>
      <c r="G15" s="74" t="inlineStr">
        <is>
          <t>Tier 1</t>
        </is>
      </c>
      <c r="H15" s="74" t="inlineStr">
        <is>
          <t>CONFIRMED_ACTIVE</t>
        </is>
      </c>
      <c r="I15" s="74" t="inlineStr">
        <is>
          <t>https://iis-lab.org/people/koji/</t>
        </is>
      </c>
      <c r="J15" s="74" t="inlineStr">
        <is>
          <t>2026-09-15</t>
        </is>
      </c>
    </row>
    <row r="16">
      <c r="A16" s="71" t="inlineStr">
        <is>
          <t>Japan</t>
        </is>
      </c>
      <c r="B16" s="72" t="inlineStr">
        <is>
          <t>Keio University</t>
        </is>
      </c>
      <c r="C16" s="71" t="inlineStr">
        <is>
          <t>Prof. Hiroki Matsutani</t>
        </is>
      </c>
      <c r="D16" s="72" t="inlineStr">
        <is>
          <t>Department of Information and Computer Science</t>
        </is>
      </c>
      <c r="E16" s="72" t="inlineStr">
        <is>
          <t>Edge AI Hardware Accelerators, On-Chip Networks (NoC), On-Device Learning</t>
        </is>
      </c>
      <c r="F16" s="72" t="inlineStr">
        <is>
          <t>97.0%</t>
        </is>
      </c>
      <c r="G16" s="72" t="inlineStr">
        <is>
          <t>Tier 1</t>
        </is>
      </c>
      <c r="H16" s="72" t="inlineStr">
        <is>
          <t>CONFIRMED_ACTIVE</t>
        </is>
      </c>
      <c r="I16" s="72" t="inlineStr">
        <is>
          <t>https://www.arc.ics.keio.ac.jp/~matutani/</t>
        </is>
      </c>
      <c r="J16" s="72" t="inlineStr">
        <is>
          <t>2026-09-15</t>
        </is>
      </c>
    </row>
    <row r="17">
      <c r="A17" s="73" t="inlineStr">
        <is>
          <t>Japan</t>
        </is>
      </c>
      <c r="B17" s="74" t="inlineStr">
        <is>
          <t>The University of Tokyo</t>
        </is>
      </c>
      <c r="C17" s="73" t="inlineStr">
        <is>
          <t>Prof. Toyotaro Suzumura</t>
        </is>
      </c>
      <c r="D17" s="74" t="inlineStr">
        <is>
          <t>Graduate School of Information Science and Technology</t>
        </is>
      </c>
      <c r="E17" s="74" t="inlineStr">
        <is>
          <t>Distributed Graph AI, High-Performance Computing, Large-Scale Edge Analytics</t>
        </is>
      </c>
      <c r="F17" s="74" t="inlineStr">
        <is>
          <t>94.5%</t>
        </is>
      </c>
      <c r="G17" s="74" t="inlineStr">
        <is>
          <t>Tier 1</t>
        </is>
      </c>
      <c r="H17" s="74" t="inlineStr">
        <is>
          <t>STRONG_EVIDENCE</t>
        </is>
      </c>
      <c r="I17" s="74" t="inlineStr">
        <is>
          <t>https://www.u-tokyo.ac.jp/focus/en/people/k0001n7238.html</t>
        </is>
      </c>
      <c r="J17" s="74" t="inlineStr">
        <is>
          <t>2026-09-15</t>
        </is>
      </c>
    </row>
    <row r="18">
      <c r="A18" s="71" t="inlineStr">
        <is>
          <t>Japan</t>
        </is>
      </c>
      <c r="B18" s="72" t="inlineStr">
        <is>
          <t>Tokyo Metropolitan University / Keio University</t>
        </is>
      </c>
      <c r="C18" s="71" t="inlineStr">
        <is>
          <t>Prof. Masaki Aida</t>
        </is>
      </c>
      <c r="D18" s="72" t="inlineStr">
        <is>
          <t>Department of Computer Science</t>
        </is>
      </c>
      <c r="E18" s="72" t="inlineStr">
        <is>
          <t>Autonomous Decentralized Systems, Complex Networks, Edge Resource Allocation</t>
        </is>
      </c>
      <c r="F18" s="72" t="inlineStr">
        <is>
          <t>92.0%</t>
        </is>
      </c>
      <c r="G18" s="72" t="inlineStr">
        <is>
          <t>Tier 2</t>
        </is>
      </c>
      <c r="H18" s="72" t="inlineStr">
        <is>
          <t>STRONG_EVIDENCE</t>
        </is>
      </c>
      <c r="I18" s="72" t="inlineStr">
        <is>
          <t>https://www.comp.tmu.ac.jp/aida-lab/index-e.html</t>
        </is>
      </c>
      <c r="J18" s="72" t="inlineStr">
        <is>
          <t>2026-09-15</t>
        </is>
      </c>
    </row>
    <row r="19">
      <c r="A19" s="73" t="inlineStr">
        <is>
          <t>Japan</t>
        </is>
      </c>
      <c r="B19" s="74" t="inlineStr">
        <is>
          <t>Keio University</t>
        </is>
      </c>
      <c r="C19" s="73" t="inlineStr">
        <is>
          <t>Prof. Fumio Teraoka</t>
        </is>
      </c>
      <c r="D19" s="74" t="inlineStr">
        <is>
          <t>Department of Information and Computer Science</t>
        </is>
      </c>
      <c r="E19" s="74" t="inlineStr">
        <is>
          <t>Information-Centric Networking (ICN), Mobile IPv6, Edge Network Architectures</t>
        </is>
      </c>
      <c r="F19" s="74" t="inlineStr">
        <is>
          <t>93.0%</t>
        </is>
      </c>
      <c r="G19" s="74" t="inlineStr">
        <is>
          <t>Tier 2</t>
        </is>
      </c>
      <c r="H19" s="74" t="inlineStr">
        <is>
          <t>POSSIBLE</t>
        </is>
      </c>
      <c r="I19" s="74" t="inlineStr">
        <is>
          <t>https://www.teraoka.ics.keio.ac.jp/</t>
        </is>
      </c>
      <c r="J19" s="74" t="inlineStr">
        <is>
          <t>2026-09-15</t>
        </is>
      </c>
    </row>
    <row r="20">
      <c r="A20" s="71" t="inlineStr">
        <is>
          <t>Japan</t>
        </is>
      </c>
      <c r="B20" s="72" t="inlineStr">
        <is>
          <t>Keio University</t>
        </is>
      </c>
      <c r="C20" s="71" t="inlineStr">
        <is>
          <t>Prof. Hideyuki Kawashima</t>
        </is>
      </c>
      <c r="D20" s="72" t="inlineStr">
        <is>
          <t>Faculty of Environment and Information Studies</t>
        </is>
      </c>
      <c r="E20" s="72" t="inlineStr">
        <is>
          <t>Distributed Stream Processing, Real-Time Edge Data Systems, High-Throughput In-Memory Databases</t>
        </is>
      </c>
      <c r="F20" s="72" t="inlineStr">
        <is>
          <t>95.0%</t>
        </is>
      </c>
      <c r="G20" s="72" t="inlineStr">
        <is>
          <t>Tier 1</t>
        </is>
      </c>
      <c r="H20" s="72" t="inlineStr">
        <is>
          <t>STRONG_EVIDENCE</t>
        </is>
      </c>
      <c r="I20" s="72" t="inlineStr">
        <is>
          <t>https://k-ris.keio.ac.jp/html/100014285_en.html</t>
        </is>
      </c>
      <c r="J20" s="72" t="inlineStr">
        <is>
          <t>2026-09-15</t>
        </is>
      </c>
    </row>
    <row r="21">
      <c r="A21" s="73" t="inlineStr">
        <is>
          <t>Germany</t>
        </is>
      </c>
      <c r="B21" s="74" t="inlineStr">
        <is>
          <t>Technical University of Munich (TUM)</t>
        </is>
      </c>
      <c r="C21" s="73" t="inlineStr">
        <is>
          <t>Prof. Jörg Ott</t>
        </is>
      </c>
      <c r="D21" s="74" t="inlineStr">
        <is>
          <t>TUM School of Computation, Information and Technology (CIT)</t>
        </is>
      </c>
      <c r="E21" s="74" t="inlineStr">
        <is>
          <t>Connected Mobility, Edge Computing for Automotive Systems, Delay-Tolerant Networking (DTN)</t>
        </is>
      </c>
      <c r="F21" s="74" t="inlineStr">
        <is>
          <t>98.0%</t>
        </is>
      </c>
      <c r="G21" s="74" t="inlineStr">
        <is>
          <t>Tier 1</t>
        </is>
      </c>
      <c r="H21" s="74" t="inlineStr">
        <is>
          <t>CONFIRMED_ACTIVE</t>
        </is>
      </c>
      <c r="I21" s="74" t="inlineStr">
        <is>
          <t>https://www.cm.in.tum.de/en/team/ott/</t>
        </is>
      </c>
      <c r="J21" s="74" t="inlineStr">
        <is>
          <t>2026-09-15</t>
        </is>
      </c>
    </row>
    <row r="22">
      <c r="A22" s="71" t="inlineStr">
        <is>
          <t>Germany</t>
        </is>
      </c>
      <c r="B22" s="72" t="inlineStr">
        <is>
          <t>Technical University of Berlin (TU Berlin)</t>
        </is>
      </c>
      <c r="C22" s="71" t="inlineStr">
        <is>
          <t>Prof. David Bermbach</t>
        </is>
      </c>
      <c r="D22" s="72" t="inlineStr">
        <is>
          <t>Faculty of Electrical Engineering and Computer Science</t>
        </is>
      </c>
      <c r="E22" s="72" t="inlineStr">
        <is>
          <t>Edge Computing, Serverless Edge, Fog Robotics</t>
        </is>
      </c>
      <c r="F22" s="72" t="inlineStr">
        <is>
          <t>98.5%</t>
        </is>
      </c>
      <c r="G22" s="72" t="inlineStr">
        <is>
          <t>Tier 1</t>
        </is>
      </c>
      <c r="H22" s="72" t="inlineStr">
        <is>
          <t>CONFIRMED_ACTIVE</t>
        </is>
      </c>
      <c r="I22" s="72" t="inlineStr">
        <is>
          <t>https://www.mcc.tu-berlin.de/menue/team/david_bermbach/</t>
        </is>
      </c>
      <c r="J22" s="72" t="inlineStr">
        <is>
          <t>2026-09-15</t>
        </is>
      </c>
    </row>
    <row r="23">
      <c r="A23" s="73" t="inlineStr">
        <is>
          <t>Germany</t>
        </is>
      </c>
      <c r="B23" s="74" t="inlineStr">
        <is>
          <t>Technical University of Munich (TUM)</t>
        </is>
      </c>
      <c r="C23" s="73" t="inlineStr">
        <is>
          <t>Prof. Michael Gerndt</t>
        </is>
      </c>
      <c r="D23" s="74" t="inlineStr">
        <is>
          <t>TUM School of Computation, Information and Technology (CIT)</t>
        </is>
      </c>
      <c r="E23" s="74" t="inlineStr">
        <is>
          <t>Cloud-Edge Orchestration, Autonomous Performance Tuning, Serverless Systems</t>
        </is>
      </c>
      <c r="F23" s="74" t="inlineStr">
        <is>
          <t>96.0%</t>
        </is>
      </c>
      <c r="G23" s="74" t="inlineStr">
        <is>
          <t>Tier 1</t>
        </is>
      </c>
      <c r="H23" s="74" t="inlineStr">
        <is>
          <t>CONFIRMED_ACTIVE</t>
        </is>
      </c>
      <c r="I23" s="74" t="inlineStr">
        <is>
          <t>https://www.caps.in.tum.de/en/team/gerndt/</t>
        </is>
      </c>
      <c r="J23" s="74" t="inlineStr">
        <is>
          <t>2026-09-15</t>
        </is>
      </c>
    </row>
    <row r="24">
      <c r="A24" s="71" t="inlineStr">
        <is>
          <t>Germany</t>
        </is>
      </c>
      <c r="B24" s="72" t="inlineStr">
        <is>
          <t>RWTH Aachen University</t>
        </is>
      </c>
      <c r="C24" s="71" t="inlineStr">
        <is>
          <t>Prof. Klaus Wehrle</t>
        </is>
      </c>
      <c r="D24" s="72" t="inlineStr">
        <is>
          <t>Department of Computer Science</t>
        </is>
      </c>
      <c r="E24" s="72" t="inlineStr">
        <is>
          <t>Communication and Distributed Systems, In-Network Computing, Network Programmability (P4)</t>
        </is>
      </c>
      <c r="F24" s="72" t="inlineStr">
        <is>
          <t>97.0%</t>
        </is>
      </c>
      <c r="G24" s="72" t="inlineStr">
        <is>
          <t>Tier 1</t>
        </is>
      </c>
      <c r="H24" s="72" t="inlineStr">
        <is>
          <t>CONFIRMED_ACTIVE</t>
        </is>
      </c>
      <c r="I24" s="72" t="inlineStr">
        <is>
          <t>https://www.comsys.rwth-aachen.de/team/klaus-wehrle/</t>
        </is>
      </c>
      <c r="J24" s="72" t="inlineStr">
        <is>
          <t>2026-09-15</t>
        </is>
      </c>
    </row>
    <row r="25">
      <c r="A25" s="73" t="inlineStr">
        <is>
          <t>Germany</t>
        </is>
      </c>
      <c r="B25" s="74" t="inlineStr">
        <is>
          <t>Karlsruhe Institute of Technology (KIT) / TU Dresden</t>
        </is>
      </c>
      <c r="C25" s="73" t="inlineStr">
        <is>
          <t>Prof. Thorsten Strufe</t>
        </is>
      </c>
      <c r="D25" s="74" t="inlineStr">
        <is>
          <t>KIT Department of Informatics</t>
        </is>
      </c>
      <c r="E25" s="74" t="inlineStr">
        <is>
          <t>Decentralized Edge Systems, Privacy-Enhancing Technologies, Network Anonymity</t>
        </is>
      </c>
      <c r="F25" s="74" t="inlineStr">
        <is>
          <t>95.0%</t>
        </is>
      </c>
      <c r="G25" s="74" t="inlineStr">
        <is>
          <t>Tier 1</t>
        </is>
      </c>
      <c r="H25" s="74" t="inlineStr">
        <is>
          <t>CONFIRMED_ACTIVE</t>
        </is>
      </c>
      <c r="I25" s="74" t="inlineStr">
        <is>
          <t>https://ps.inf.kit.edu/people/strufe/</t>
        </is>
      </c>
      <c r="J25" s="74" t="inlineStr">
        <is>
          <t>2026-09-15</t>
        </is>
      </c>
    </row>
    <row r="26">
      <c r="A26" s="71" t="inlineStr">
        <is>
          <t>Germany</t>
        </is>
      </c>
      <c r="B26" s="72" t="inlineStr">
        <is>
          <t>TU Dresden</t>
        </is>
      </c>
      <c r="C26" s="71" t="inlineStr">
        <is>
          <t>Prof. Christof Fetzer</t>
        </is>
      </c>
      <c r="D26" s="72" t="inlineStr">
        <is>
          <t>Faculty of Computer Science</t>
        </is>
      </c>
      <c r="E26" s="72" t="inlineStr">
        <is>
          <t>Dependable Systems, Confidential Computing at Edge, Hardware Security Enclaves (SGX/SEV)</t>
        </is>
      </c>
      <c r="F26" s="72" t="inlineStr">
        <is>
          <t>97.5%</t>
        </is>
      </c>
      <c r="G26" s="72" t="inlineStr">
        <is>
          <t>Tier 1</t>
        </is>
      </c>
      <c r="H26" s="72" t="inlineStr">
        <is>
          <t>CONFIRMED_ACTIVE</t>
        </is>
      </c>
      <c r="I26" s="72" t="inlineStr">
        <is>
          <t>https://tu-dresden.de/ing/informatik/syt/die-professur/inhaber</t>
        </is>
      </c>
      <c r="J26" s="72" t="inlineStr">
        <is>
          <t>2026-09-15</t>
        </is>
      </c>
    </row>
    <row r="27">
      <c r="A27" s="73" t="inlineStr">
        <is>
          <t>Germany</t>
        </is>
      </c>
      <c r="B27" s="74" t="inlineStr">
        <is>
          <t>TU Dresden</t>
        </is>
      </c>
      <c r="C27" s="73" t="inlineStr">
        <is>
          <t>Prof. Frank H. P. Fitzek</t>
        </is>
      </c>
      <c r="D27" s="74" t="inlineStr">
        <is>
          <t>Faculty of Electrical and Computer Engineering</t>
        </is>
      </c>
      <c r="E27" s="74" t="inlineStr">
        <is>
          <t>Tactile Internet, 5G/6G Networks, Network Coding for Edge Systems</t>
        </is>
      </c>
      <c r="F27" s="74" t="inlineStr">
        <is>
          <t>97.0%</t>
        </is>
      </c>
      <c r="G27" s="74" t="inlineStr">
        <is>
          <t>Tier 1</t>
        </is>
      </c>
      <c r="H27" s="74" t="inlineStr">
        <is>
          <t>CONFIRMED_ACTIVE</t>
        </is>
      </c>
      <c r="I27" s="74" t="inlineStr">
        <is>
          <t>https://tu-dresden.de/ing/elektrotechnik/ifn/tkn/die-professur/inhaber</t>
        </is>
      </c>
      <c r="J27" s="74" t="inlineStr">
        <is>
          <t>2026-09-15</t>
        </is>
      </c>
    </row>
    <row r="28">
      <c r="A28" s="71" t="inlineStr">
        <is>
          <t>Germany</t>
        </is>
      </c>
      <c r="B28" s="72" t="inlineStr">
        <is>
          <t>Technical University of Munich (TUM)</t>
        </is>
      </c>
      <c r="C28" s="71" t="inlineStr">
        <is>
          <t>Prof. Marco Caccamo</t>
        </is>
      </c>
      <c r="D28" s="72" t="inlineStr">
        <is>
          <t>TUM School of Engineering and Design</t>
        </is>
      </c>
      <c r="E28" s="72" t="inlineStr">
        <is>
          <t>Safety-Critical Edge Systems, Real-Time Computing, Cyber-Physical Systems</t>
        </is>
      </c>
      <c r="F28" s="72" t="inlineStr">
        <is>
          <t>96.5%</t>
        </is>
      </c>
      <c r="G28" s="72" t="inlineStr">
        <is>
          <t>Tier 1</t>
        </is>
      </c>
      <c r="H28" s="72" t="inlineStr">
        <is>
          <t>CONFIRMED_ACTIVE</t>
        </is>
      </c>
      <c r="I28" s="72" t="inlineStr">
        <is>
          <t>https://www.mec.ed.tum.de/en/cps/people/prof-dr-marco-caccamo/</t>
        </is>
      </c>
      <c r="J28" s="72" t="inlineStr">
        <is>
          <t>2026-09-15</t>
        </is>
      </c>
    </row>
    <row r="29">
      <c r="A29" s="73" t="inlineStr">
        <is>
          <t>United States</t>
        </is>
      </c>
      <c r="B29" s="74" t="inlineStr">
        <is>
          <t>Carnegie Mellon University</t>
        </is>
      </c>
      <c r="C29" s="73" t="inlineStr">
        <is>
          <t>Prof. Mahadev Satyanarayanan (Satya)</t>
        </is>
      </c>
      <c r="D29" s="74" t="inlineStr">
        <is>
          <t>Computer Science Department (CSD)</t>
        </is>
      </c>
      <c r="E29" s="74" t="inlineStr">
        <is>
          <t>Edge Computing, Cloudlets, Wearable Cognitive Assistance</t>
        </is>
      </c>
      <c r="F29" s="74" t="inlineStr">
        <is>
          <t>99.0%</t>
        </is>
      </c>
      <c r="G29" s="74" t="inlineStr">
        <is>
          <t>Tier 1</t>
        </is>
      </c>
      <c r="H29" s="74" t="inlineStr">
        <is>
          <t>CONFIRMED_ACTIVE</t>
        </is>
      </c>
      <c r="I29" s="74" t="inlineStr">
        <is>
          <t>https://www.cs.cmu.edu/~satya/</t>
        </is>
      </c>
      <c r="J29" s="74" t="inlineStr">
        <is>
          <t>2026-09-15</t>
        </is>
      </c>
    </row>
    <row r="30">
      <c r="A30" s="71" t="inlineStr">
        <is>
          <t>United States</t>
        </is>
      </c>
      <c r="B30" s="72" t="inlineStr">
        <is>
          <t>University of California, Berkeley</t>
        </is>
      </c>
      <c r="C30" s="71" t="inlineStr">
        <is>
          <t>Prof. Ion Stoica</t>
        </is>
      </c>
      <c r="D30" s="72" t="inlineStr">
        <is>
          <t>Department of Electrical Engineering and Computer Sciences (EECS)</t>
        </is>
      </c>
      <c r="E30" s="72" t="inlineStr">
        <is>
          <t>Cloud-Edge Computing, Distributed AI Systems, Sky Computing</t>
        </is>
      </c>
      <c r="F30" s="72" t="inlineStr">
        <is>
          <t>98.5%</t>
        </is>
      </c>
      <c r="G30" s="72" t="inlineStr">
        <is>
          <t>Tier 1</t>
        </is>
      </c>
      <c r="H30" s="72" t="inlineStr">
        <is>
          <t>CONFIRMED_ACTIVE</t>
        </is>
      </c>
      <c r="I30" s="72" t="inlineStr">
        <is>
          <t>https://people.eecs.berkeley.edu/~istoica/</t>
        </is>
      </c>
      <c r="J30" s="72" t="inlineStr">
        <is>
          <t>2026-09-15</t>
        </is>
      </c>
    </row>
    <row r="31">
      <c r="A31" s="73" t="inlineStr">
        <is>
          <t>United States</t>
        </is>
      </c>
      <c r="B31" s="74" t="inlineStr">
        <is>
          <t>Purdue University / Princeton University</t>
        </is>
      </c>
      <c r="C31" s="73" t="inlineStr">
        <is>
          <t>Prof. Mung Chiang</t>
        </is>
      </c>
      <c r="D31" s="74" t="inlineStr">
        <is>
          <t>Elmore Family School of Electrical and Computer Engineering</t>
        </is>
      </c>
      <c r="E31" s="74" t="inlineStr">
        <is>
          <t>Fog Computing, Edge Network Economics, Network Utility Maximization</t>
        </is>
      </c>
      <c r="F31" s="74" t="inlineStr">
        <is>
          <t>97.0%</t>
        </is>
      </c>
      <c r="G31" s="74" t="inlineStr">
        <is>
          <t>Tier 1</t>
        </is>
      </c>
      <c r="H31" s="74" t="inlineStr">
        <is>
          <t>STRONG_EVIDENCE</t>
        </is>
      </c>
      <c r="I31" s="74" t="inlineStr">
        <is>
          <t>https://www.purdue.edu/president/about/biography.php</t>
        </is>
      </c>
      <c r="J31" s="74" t="inlineStr">
        <is>
          <t>2026-09-15</t>
        </is>
      </c>
    </row>
    <row r="32">
      <c r="A32" s="71" t="inlineStr">
        <is>
          <t>United States</t>
        </is>
      </c>
      <c r="B32" s="72" t="inlineStr">
        <is>
          <t>University of California, Berkeley</t>
        </is>
      </c>
      <c r="C32" s="71" t="inlineStr">
        <is>
          <t>Prof. Joseph E. Gonzalez</t>
        </is>
      </c>
      <c r="D32" s="72" t="inlineStr">
        <is>
          <t>Department of Electrical Engineering and Computer Sciences (EECS)</t>
        </is>
      </c>
      <c r="E32" s="72" t="inlineStr">
        <is>
          <t>Systems for Machine Learning, Edge AI Inference, Large Language Model Serving (vLLM)</t>
        </is>
      </c>
      <c r="F32" s="72" t="inlineStr">
        <is>
          <t>98.0%</t>
        </is>
      </c>
      <c r="G32" s="72" t="inlineStr">
        <is>
          <t>Tier 1</t>
        </is>
      </c>
      <c r="H32" s="72" t="inlineStr">
        <is>
          <t>CONFIRMED_ACTIVE</t>
        </is>
      </c>
      <c r="I32" s="72" t="inlineStr">
        <is>
          <t>https://people.eecs.berkeley.edu/~jegonzal/</t>
        </is>
      </c>
      <c r="J32" s="72" t="inlineStr">
        <is>
          <t>2026-09-15</t>
        </is>
      </c>
    </row>
    <row r="33">
      <c r="A33" s="73" t="inlineStr">
        <is>
          <t>United States</t>
        </is>
      </c>
      <c r="B33" s="74" t="inlineStr">
        <is>
          <t>University of Texas at Austin</t>
        </is>
      </c>
      <c r="C33" s="73" t="inlineStr">
        <is>
          <t>Prof. Sanjay Shakkottai</t>
        </is>
      </c>
      <c r="D33" s="74" t="inlineStr">
        <is>
          <t>Department of Electrical and Computer Engineering (ECE)</t>
        </is>
      </c>
      <c r="E33" s="74" t="inlineStr">
        <is>
          <t>Edge Federated Learning, Wireless Networks, Edge Resource Allocation</t>
        </is>
      </c>
      <c r="F33" s="74" t="inlineStr">
        <is>
          <t>97.0%</t>
        </is>
      </c>
      <c r="G33" s="74" t="inlineStr">
        <is>
          <t>Tier 1</t>
        </is>
      </c>
      <c r="H33" s="74" t="inlineStr">
        <is>
          <t>CONFIRMED_ACTIVE</t>
        </is>
      </c>
      <c r="I33" s="74" t="inlineStr">
        <is>
          <t>https://www.ece.utexas.edu/people/faculty/sanjay-shakkottai</t>
        </is>
      </c>
      <c r="J33" s="74" t="inlineStr">
        <is>
          <t>2026-09-15</t>
        </is>
      </c>
    </row>
    <row r="34">
      <c r="A34" s="71" t="inlineStr">
        <is>
          <t>United States</t>
        </is>
      </c>
      <c r="B34" s="72" t="inlineStr">
        <is>
          <t>University of Illinois Urbana-Champaign</t>
        </is>
      </c>
      <c r="C34" s="71" t="inlineStr">
        <is>
          <t>Prof. Klara Nahrstedt</t>
        </is>
      </c>
      <c r="D34" s="72" t="inlineStr">
        <is>
          <t>Siebel School of Computing and Data Science</t>
        </is>
      </c>
      <c r="E34" s="72" t="inlineStr">
        <is>
          <t>Edge Video Analytics, Mobile Multimedia Systems, Internet of Things</t>
        </is>
      </c>
      <c r="F34" s="72" t="inlineStr">
        <is>
          <t>96.5%</t>
        </is>
      </c>
      <c r="G34" s="72" t="inlineStr">
        <is>
          <t>Tier 1</t>
        </is>
      </c>
      <c r="H34" s="72" t="inlineStr">
        <is>
          <t>CONFIRMED_ACTIVE</t>
        </is>
      </c>
      <c r="I34" s="72" t="inlineStr">
        <is>
          <t>https://cs.illinois.edu/about/people/department-faculty/klara</t>
        </is>
      </c>
      <c r="J34" s="72" t="inlineStr">
        <is>
          <t>2026-09-15</t>
        </is>
      </c>
    </row>
    <row r="35">
      <c r="A35" s="73" t="inlineStr">
        <is>
          <t>United States</t>
        </is>
      </c>
      <c r="B35" s="74" t="inlineStr">
        <is>
          <t>University of Illinois Urbana-Champaign</t>
        </is>
      </c>
      <c r="C35" s="73" t="inlineStr">
        <is>
          <t>Prof. Tarek Abdelzaher</t>
        </is>
      </c>
      <c r="D35" s="74" t="inlineStr">
        <is>
          <t>Siebel School of Computing and Data Science</t>
        </is>
      </c>
      <c r="E35" s="74" t="inlineStr">
        <is>
          <t>Cyber-Physical Systems, Real-Time Edge AI, Internet of Things</t>
        </is>
      </c>
      <c r="F35" s="74" t="inlineStr">
        <is>
          <t>97.0%</t>
        </is>
      </c>
      <c r="G35" s="74" t="inlineStr">
        <is>
          <t>Tier 1</t>
        </is>
      </c>
      <c r="H35" s="74" t="inlineStr">
        <is>
          <t>CONFIRMED_ACTIVE</t>
        </is>
      </c>
      <c r="I35" s="74" t="inlineStr">
        <is>
          <t>https://cs.illinois.edu/about/people/department-faculty/zaher</t>
        </is>
      </c>
      <c r="J35" s="74" t="inlineStr">
        <is>
          <t>2026-09-15</t>
        </is>
      </c>
    </row>
    <row r="36">
      <c r="A36" s="71" t="inlineStr">
        <is>
          <t>United States</t>
        </is>
      </c>
      <c r="B36" s="72" t="inlineStr">
        <is>
          <t>University of Illinois Urbana-Champaign</t>
        </is>
      </c>
      <c r="C36" s="71" t="inlineStr">
        <is>
          <t>Prof. Indranil Gupta</t>
        </is>
      </c>
      <c r="D36" s="72" t="inlineStr">
        <is>
          <t>Siebel School of Computing and Data Science</t>
        </is>
      </c>
      <c r="E36" s="72" t="inlineStr">
        <is>
          <t>Distributed Systems, Cloud-Edge Computing, Distributed Consensus</t>
        </is>
      </c>
      <c r="F36" s="72" t="inlineStr">
        <is>
          <t>97.5%</t>
        </is>
      </c>
      <c r="G36" s="72" t="inlineStr">
        <is>
          <t>Tier 1</t>
        </is>
      </c>
      <c r="H36" s="72" t="inlineStr">
        <is>
          <t>CONFIRMED_ACTIVE</t>
        </is>
      </c>
      <c r="I36" s="72" t="inlineStr">
        <is>
          <t>https://cs.illinois.edu/about/people/department-faculty/indy</t>
        </is>
      </c>
      <c r="J36" s="72" t="inlineStr">
        <is>
          <t>2026-09-15</t>
        </is>
      </c>
    </row>
    <row r="37">
      <c r="A37" s="73" t="inlineStr">
        <is>
          <t>Canada</t>
        </is>
      </c>
      <c r="B37" s="74" t="inlineStr">
        <is>
          <t>University of Waterloo</t>
        </is>
      </c>
      <c r="C37" s="73" t="inlineStr">
        <is>
          <t>Prof. Raouf Boutaba</t>
        </is>
      </c>
      <c r="D37" s="74" t="inlineStr">
        <is>
          <t>David R. Cheriton School of Computer Science</t>
        </is>
      </c>
      <c r="E37" s="74" t="inlineStr">
        <is>
          <t>Network Softwarization, 5G/6G Edge Computing, Network Slicing</t>
        </is>
      </c>
      <c r="F37" s="74" t="inlineStr">
        <is>
          <t>98.0%</t>
        </is>
      </c>
      <c r="G37" s="74" t="inlineStr">
        <is>
          <t>Tier 1</t>
        </is>
      </c>
      <c r="H37" s="74" t="inlineStr">
        <is>
          <t>CONFIRMED_ACTIVE</t>
        </is>
      </c>
      <c r="I37" s="74" t="inlineStr">
        <is>
          <t>https://cs.uwaterloo.ca/~rboutaba/</t>
        </is>
      </c>
      <c r="J37" s="74" t="inlineStr">
        <is>
          <t>2026-09-15</t>
        </is>
      </c>
    </row>
    <row r="38">
      <c r="A38" s="71" t="inlineStr">
        <is>
          <t>Canada</t>
        </is>
      </c>
      <c r="B38" s="72" t="inlineStr">
        <is>
          <t>University of Toronto</t>
        </is>
      </c>
      <c r="C38" s="71" t="inlineStr">
        <is>
          <t>Prof. Yashar Ganjali</t>
        </is>
      </c>
      <c r="D38" s="72" t="inlineStr">
        <is>
          <t>Department of Computer Science</t>
        </is>
      </c>
      <c r="E38" s="72" t="inlineStr">
        <is>
          <t>Software-Defined Networking, Edge Network Architectures, Programmable Data Planes</t>
        </is>
      </c>
      <c r="F38" s="72" t="inlineStr">
        <is>
          <t>96.0%</t>
        </is>
      </c>
      <c r="G38" s="72" t="inlineStr">
        <is>
          <t>Tier 1</t>
        </is>
      </c>
      <c r="H38" s="72" t="inlineStr">
        <is>
          <t>CONFIRMED_ACTIVE</t>
        </is>
      </c>
      <c r="I38" s="72" t="inlineStr">
        <is>
          <t>https://web.cs.toronto.edu/people/faculty-directory/yashar-ganjali</t>
        </is>
      </c>
      <c r="J38" s="72" t="inlineStr">
        <is>
          <t>2026-09-15</t>
        </is>
      </c>
    </row>
    <row r="39">
      <c r="A39" s="73" t="inlineStr">
        <is>
          <t>Canada</t>
        </is>
      </c>
      <c r="B39" s="74" t="inlineStr">
        <is>
          <t>University of Toronto</t>
        </is>
      </c>
      <c r="C39" s="73" t="inlineStr">
        <is>
          <t>Prof. Cristiana Amza</t>
        </is>
      </c>
      <c r="D39" s="74" t="inlineStr">
        <is>
          <t>The Edward S. Rogers Sr. Department of Electrical &amp; Computer Engineering</t>
        </is>
      </c>
      <c r="E39" s="74" t="inlineStr">
        <is>
          <t>Cloud-Edge Resource Management, Distributed Systems, Virtualization Runtimes</t>
        </is>
      </c>
      <c r="F39" s="74" t="inlineStr">
        <is>
          <t>96.5%</t>
        </is>
      </c>
      <c r="G39" s="74" t="inlineStr">
        <is>
          <t>Tier 1</t>
        </is>
      </c>
      <c r="H39" s="74" t="inlineStr">
        <is>
          <t>STRONG_EVIDENCE</t>
        </is>
      </c>
      <c r="I39" s="74" t="inlineStr">
        <is>
          <t>https://www.ece.utoronto.ca/people/faculty-directory/cristiana-amza/</t>
        </is>
      </c>
      <c r="J39" s="74" t="inlineStr">
        <is>
          <t>2026-09-15</t>
        </is>
      </c>
    </row>
    <row r="40">
      <c r="A40" s="71" t="inlineStr">
        <is>
          <t>Canada</t>
        </is>
      </c>
      <c r="B40" s="72" t="inlineStr">
        <is>
          <t>University of British Columbia</t>
        </is>
      </c>
      <c r="C40" s="71" t="inlineStr">
        <is>
          <t>Prof. Karthik Pattabiraman</t>
        </is>
      </c>
      <c r="D40" s="72" t="inlineStr">
        <is>
          <t>Department of Electrical and Computer Engineering</t>
        </is>
      </c>
      <c r="E40" s="72" t="inlineStr">
        <is>
          <t>Fault Tolerance in Edge Computing, IoT Security, Software Reliability</t>
        </is>
      </c>
      <c r="F40" s="72" t="inlineStr">
        <is>
          <t>96.0%</t>
        </is>
      </c>
      <c r="G40" s="72" t="inlineStr">
        <is>
          <t>Tier 1</t>
        </is>
      </c>
      <c r="H40" s="72" t="inlineStr">
        <is>
          <t>CONFIRMED_ACTIVE</t>
        </is>
      </c>
      <c r="I40" s="72" t="inlineStr">
        <is>
          <t>https://ece.ubc.ca/karthik-pattabiraman/</t>
        </is>
      </c>
      <c r="J40" s="72" t="inlineStr">
        <is>
          <t>2026-09-15</t>
        </is>
      </c>
    </row>
    <row r="41">
      <c r="A41" s="73" t="inlineStr">
        <is>
          <t>Canada</t>
        </is>
      </c>
      <c r="B41" s="74" t="inlineStr">
        <is>
          <t>University of Alberta</t>
        </is>
      </c>
      <c r="C41" s="73" t="inlineStr">
        <is>
          <t>Prof. Di Niu</t>
        </is>
      </c>
      <c r="D41" s="74" t="inlineStr">
        <is>
          <t>Department of Computing Science / Department of ECE</t>
        </is>
      </c>
      <c r="E41" s="74" t="inlineStr">
        <is>
          <t>Distributed Machine Learning, Edge AI Inference, Federated Learning</t>
        </is>
      </c>
      <c r="F41" s="74" t="inlineStr">
        <is>
          <t>97.0%</t>
        </is>
      </c>
      <c r="G41" s="74" t="inlineStr">
        <is>
          <t>Tier 1</t>
        </is>
      </c>
      <c r="H41" s="74" t="inlineStr">
        <is>
          <t>CONFIRMED_ACTIVE</t>
        </is>
      </c>
      <c r="I41" s="74" t="inlineStr">
        <is>
          <t>https://apps.ualberta.ca/directory/person/dniu</t>
        </is>
      </c>
      <c r="J41" s="74" t="inlineStr">
        <is>
          <t>2026-09-15</t>
        </is>
      </c>
    </row>
    <row r="42">
      <c r="A42" s="71" t="inlineStr">
        <is>
          <t>Canada</t>
        </is>
      </c>
      <c r="B42" s="72" t="inlineStr">
        <is>
          <t>Simon Fraser University</t>
        </is>
      </c>
      <c r="C42" s="71" t="inlineStr">
        <is>
          <t>Prof. Jiangchuan Liu</t>
        </is>
      </c>
      <c r="D42" s="72" t="inlineStr">
        <is>
          <t>School of Computing Science</t>
        </is>
      </c>
      <c r="E42" s="72" t="inlineStr">
        <is>
          <t>Edge Video Analytics, Multimedia Systems, Pervasive Edge Computing</t>
        </is>
      </c>
      <c r="F42" s="72" t="inlineStr">
        <is>
          <t>97.0%</t>
        </is>
      </c>
      <c r="G42" s="72" t="inlineStr">
        <is>
          <t>Tier 1</t>
        </is>
      </c>
      <c r="H42" s="72" t="inlineStr">
        <is>
          <t>CONFIRMED_ACTIVE</t>
        </is>
      </c>
      <c r="I42" s="72" t="inlineStr">
        <is>
          <t>https://www.sfu.ca/computing/people/faculty/jcliu.html</t>
        </is>
      </c>
      <c r="J42" s="72" t="inlineStr">
        <is>
          <t>2026-09-15</t>
        </is>
      </c>
    </row>
    <row r="43">
      <c r="A43" s="73" t="inlineStr">
        <is>
          <t>Canada</t>
        </is>
      </c>
      <c r="B43" s="74" t="inlineStr">
        <is>
          <t>McGill University</t>
        </is>
      </c>
      <c r="C43" s="73" t="inlineStr">
        <is>
          <t>Prof. Muthucumaru Maheswaran</t>
        </is>
      </c>
      <c r="D43" s="74" t="inlineStr">
        <is>
          <t>School of Computer Science</t>
        </is>
      </c>
      <c r="E43" s="74" t="inlineStr">
        <is>
          <t>Distributed Systems, Cloud-Edge Computing, Decentralized Trust &amp; Identity</t>
        </is>
      </c>
      <c r="F43" s="74" t="inlineStr">
        <is>
          <t>93.5%</t>
        </is>
      </c>
      <c r="G43" s="74" t="inlineStr">
        <is>
          <t>Tier 2</t>
        </is>
      </c>
      <c r="H43" s="74" t="inlineStr">
        <is>
          <t>STRONG_EVIDENCE</t>
        </is>
      </c>
      <c r="I43" s="74" t="inlineStr">
        <is>
          <t>https://www.cs.mcgill.ca/~maheswar/</t>
        </is>
      </c>
      <c r="J43" s="74" t="inlineStr">
        <is>
          <t>2026-09-15</t>
        </is>
      </c>
    </row>
    <row r="44">
      <c r="A44" s="71" t="inlineStr">
        <is>
          <t>Canada</t>
        </is>
      </c>
      <c r="B44" s="72" t="inlineStr">
        <is>
          <t>University of British Columbia</t>
        </is>
      </c>
      <c r="C44" s="71" t="inlineStr">
        <is>
          <t>Prof. Sathish Gopalakrishnan</t>
        </is>
      </c>
      <c r="D44" s="72" t="inlineStr">
        <is>
          <t>Department of Electrical and Computer Engineering</t>
        </is>
      </c>
      <c r="E44" s="72" t="inlineStr">
        <is>
          <t>Real-Time Systems, Cyber-Physical Edge Computing, Embedded Systems</t>
        </is>
      </c>
      <c r="F44" s="72" t="inlineStr">
        <is>
          <t>96.0%</t>
        </is>
      </c>
      <c r="G44" s="72" t="inlineStr">
        <is>
          <t>Tier 1</t>
        </is>
      </c>
      <c r="H44" s="72" t="inlineStr">
        <is>
          <t>STRONG_EVIDENCE</t>
        </is>
      </c>
      <c r="I44" s="72" t="inlineStr">
        <is>
          <t>https://ece.ubc.ca/sathish-gopalakrishnan/</t>
        </is>
      </c>
      <c r="J44" s="72" t="inlineStr">
        <is>
          <t>2026-09-15</t>
        </is>
      </c>
    </row>
    <row r="45">
      <c r="A45" s="73" t="inlineStr">
        <is>
          <t>Sweden</t>
        </is>
      </c>
      <c r="B45" s="74" t="inlineStr">
        <is>
          <t>KTH Royal Institute of Technology</t>
        </is>
      </c>
      <c r="C45" s="73" t="inlineStr">
        <is>
          <t>Prof. Gerald Q. Maguire Jr.</t>
        </is>
      </c>
      <c r="D45" s="74" t="inlineStr">
        <is>
          <t>School of Electrical Engineering and Computer Science (EECS)</t>
        </is>
      </c>
      <c r="E45" s="74" t="inlineStr">
        <is>
          <t>Mobile Edge Computing, Internet of Things, Wireless Communication Systems</t>
        </is>
      </c>
      <c r="F45" s="74" t="inlineStr">
        <is>
          <t>97.0%</t>
        </is>
      </c>
      <c r="G45" s="74" t="inlineStr">
        <is>
          <t>Tier 1</t>
        </is>
      </c>
      <c r="H45" s="74" t="inlineStr">
        <is>
          <t>CONFIRMED_ACTIVE</t>
        </is>
      </c>
      <c r="I45" s="74" t="inlineStr">
        <is>
          <t>https://www.kth.se/profile/maguire</t>
        </is>
      </c>
      <c r="J45" s="74" t="inlineStr">
        <is>
          <t>2026-09-15</t>
        </is>
      </c>
    </row>
    <row r="46">
      <c r="A46" s="71" t="inlineStr">
        <is>
          <t>Sweden</t>
        </is>
      </c>
      <c r="B46" s="72" t="inlineStr">
        <is>
          <t>KTH Royal Institute of Technology</t>
        </is>
      </c>
      <c r="C46" s="71" t="inlineStr">
        <is>
          <t>Prof. Seif Haridi</t>
        </is>
      </c>
      <c r="D46" s="72" t="inlineStr">
        <is>
          <t>School of Electrical Engineering and Computer Science (EECS)</t>
        </is>
      </c>
      <c r="E46" s="72" t="inlineStr">
        <is>
          <t>Decentralized Edge Systems, Scale-Out Distributed Computing, Edge Machine Learning</t>
        </is>
      </c>
      <c r="F46" s="72" t="inlineStr">
        <is>
          <t>98.0%</t>
        </is>
      </c>
      <c r="G46" s="72" t="inlineStr">
        <is>
          <t>Tier 1</t>
        </is>
      </c>
      <c r="H46" s="72" t="inlineStr">
        <is>
          <t>CONFIRMED_ACTIVE</t>
        </is>
      </c>
      <c r="I46" s="72" t="inlineStr">
        <is>
          <t>https://www.kth.se/profile/haridi</t>
        </is>
      </c>
      <c r="J46" s="72" t="inlineStr">
        <is>
          <t>2026-09-15</t>
        </is>
      </c>
    </row>
    <row r="47">
      <c r="A47" s="73" t="inlineStr">
        <is>
          <t>Sweden</t>
        </is>
      </c>
      <c r="B47" s="74" t="inlineStr">
        <is>
          <t>KTH Royal Institute of Technology</t>
        </is>
      </c>
      <c r="C47" s="73" t="inlineStr">
        <is>
          <t>Prof. James Gross</t>
        </is>
      </c>
      <c r="D47" s="74" t="inlineStr">
        <is>
          <t>School of Electrical Engineering and Computer Science (EECS)</t>
        </is>
      </c>
      <c r="E47" s="74" t="inlineStr">
        <is>
          <t>Ultra-Reliable Low-Latency Communication (URLLC), Edge Computing for Cyber-Physical Systems, 6G Wireless Networks</t>
        </is>
      </c>
      <c r="F47" s="74" t="inlineStr">
        <is>
          <t>97.5%</t>
        </is>
      </c>
      <c r="G47" s="74" t="inlineStr">
        <is>
          <t>Tier 1</t>
        </is>
      </c>
      <c r="H47" s="74" t="inlineStr">
        <is>
          <t>CONFIRMED_ACTIVE</t>
        </is>
      </c>
      <c r="I47" s="74" t="inlineStr">
        <is>
          <t>https://www.kth.se/profile/jamesgr</t>
        </is>
      </c>
      <c r="J47" s="74" t="inlineStr">
        <is>
          <t>2026-09-15</t>
        </is>
      </c>
    </row>
    <row r="48">
      <c r="A48" s="71" t="inlineStr">
        <is>
          <t>Sweden</t>
        </is>
      </c>
      <c r="B48" s="72" t="inlineStr">
        <is>
          <t>KTH Royal Institute of Technology</t>
        </is>
      </c>
      <c r="C48" s="71" t="inlineStr">
        <is>
          <t>Prof. Sarunas Girdzijauskas</t>
        </is>
      </c>
      <c r="D48" s="72" t="inlineStr">
        <is>
          <t>School of Electrical Engineering and Computer Science (EECS)</t>
        </is>
      </c>
      <c r="E48" s="72" t="inlineStr">
        <is>
          <t>Decentralized Machine Learning, Federated Learning at Edge, Peer-to-Peer Networks</t>
        </is>
      </c>
      <c r="F48" s="72" t="inlineStr">
        <is>
          <t>97.0%</t>
        </is>
      </c>
      <c r="G48" s="72" t="inlineStr">
        <is>
          <t>Tier 1</t>
        </is>
      </c>
      <c r="H48" s="72" t="inlineStr">
        <is>
          <t>CONFIRMED_ACTIVE</t>
        </is>
      </c>
      <c r="I48" s="72" t="inlineStr">
        <is>
          <t>https://www.kth.se/profile/sarunasg</t>
        </is>
      </c>
      <c r="J48" s="72" t="inlineStr">
        <is>
          <t>2026-09-15</t>
        </is>
      </c>
    </row>
    <row r="49">
      <c r="A49" s="73" t="inlineStr">
        <is>
          <t>Sweden</t>
        </is>
      </c>
      <c r="B49" s="74" t="inlineStr">
        <is>
          <t>Lund University / Ericsson Research</t>
        </is>
      </c>
      <c r="C49" s="73" t="inlineStr">
        <is>
          <t>Prof. Johan Eker</t>
        </is>
      </c>
      <c r="D49" s="74" t="inlineStr">
        <is>
          <t>Department of Automatic Control / Department of Computer Science</t>
        </is>
      </c>
      <c r="E49" s="74" t="inlineStr">
        <is>
          <t>Cloud-Edge Automation, Real-Time Control Systems, Fog Computing</t>
        </is>
      </c>
      <c r="F49" s="74" t="inlineStr">
        <is>
          <t>96.0%</t>
        </is>
      </c>
      <c r="G49" s="74" t="inlineStr">
        <is>
          <t>Tier 1</t>
        </is>
      </c>
      <c r="H49" s="74" t="inlineStr">
        <is>
          <t>CONFIRMED_ACTIVE</t>
        </is>
      </c>
      <c r="I49" s="74" t="inlineStr">
        <is>
          <t>https://www.control.lth.se/staff/johan-eker/</t>
        </is>
      </c>
      <c r="J49" s="74" t="inlineStr">
        <is>
          <t>2026-09-15</t>
        </is>
      </c>
    </row>
    <row r="50">
      <c r="A50" s="71" t="inlineStr">
        <is>
          <t>Sweden</t>
        </is>
      </c>
      <c r="B50" s="72" t="inlineStr">
        <is>
          <t>Umeå University</t>
        </is>
      </c>
      <c r="C50" s="71" t="inlineStr">
        <is>
          <t>Prof. Erik Elmroth</t>
        </is>
      </c>
      <c r="D50" s="72" t="inlineStr">
        <is>
          <t>Department of Computing Science</t>
        </is>
      </c>
      <c r="E50" s="72" t="inlineStr">
        <is>
          <t>Autonomous Cloud-Edge Systems, Edge Cloud Orchestration, Serverless Edge</t>
        </is>
      </c>
      <c r="F50" s="72" t="inlineStr">
        <is>
          <t>98.0%</t>
        </is>
      </c>
      <c r="G50" s="72" t="inlineStr">
        <is>
          <t>Tier 1</t>
        </is>
      </c>
      <c r="H50" s="72" t="inlineStr">
        <is>
          <t>CONFIRMED_ACTIVE</t>
        </is>
      </c>
      <c r="I50" s="72" t="inlineStr">
        <is>
          <t>https://www.umu.se/en/staff/erik-elmroth/</t>
        </is>
      </c>
      <c r="J50" s="72" t="inlineStr">
        <is>
          <t>2026-09-15</t>
        </is>
      </c>
    </row>
    <row r="51">
      <c r="A51" s="73" t="inlineStr">
        <is>
          <t>Sweden</t>
        </is>
      </c>
      <c r="B51" s="74" t="inlineStr">
        <is>
          <t>Chalmers University of Technology</t>
        </is>
      </c>
      <c r="C51" s="73" t="inlineStr">
        <is>
          <t>Prof. Per Stenström</t>
        </is>
      </c>
      <c r="D51" s="74" t="inlineStr">
        <is>
          <t>Department of Computer Science and Engineering</t>
        </is>
      </c>
      <c r="E51" s="74" t="inlineStr">
        <is>
          <t>Computer Architecture, Memory Systems for Edge AI, Hardware Accelerators</t>
        </is>
      </c>
      <c r="F51" s="74" t="inlineStr">
        <is>
          <t>97.0%</t>
        </is>
      </c>
      <c r="G51" s="74" t="inlineStr">
        <is>
          <t>Tier 1</t>
        </is>
      </c>
      <c r="H51" s="74" t="inlineStr">
        <is>
          <t>CONFIRMED_ACTIVE</t>
        </is>
      </c>
      <c r="I51" s="74" t="inlineStr">
        <is>
          <t>https://www.chalmers.se/en/staff/pers/</t>
        </is>
      </c>
      <c r="J51" s="74" t="inlineStr">
        <is>
          <t>2026-09-15</t>
        </is>
      </c>
    </row>
    <row r="52">
      <c r="A52" s="71" t="inlineStr">
        <is>
          <t>Sweden</t>
        </is>
      </c>
      <c r="B52" s="72" t="inlineStr">
        <is>
          <t>Chalmers University of Technology</t>
        </is>
      </c>
      <c r="C52" s="71" t="inlineStr">
        <is>
          <t>Prof. Marina Papatriantafilou</t>
        </is>
      </c>
      <c r="D52" s="72" t="inlineStr">
        <is>
          <t>Department of Computer Science and Engineering</t>
        </is>
      </c>
      <c r="E52" s="72" t="inlineStr">
        <is>
          <t>Distributed Systems, Fault-Tolerant Edge Computing, Smart Grid Edge Analytics</t>
        </is>
      </c>
      <c r="F52" s="72" t="inlineStr">
        <is>
          <t>96.0%</t>
        </is>
      </c>
      <c r="G52" s="72" t="inlineStr">
        <is>
          <t>Tier 1</t>
        </is>
      </c>
      <c r="H52" s="72" t="inlineStr">
        <is>
          <t>CONFIRMED_ACTIVE</t>
        </is>
      </c>
      <c r="I52" s="72" t="inlineStr">
        <is>
          <t>https://www.chalmers.se/en/staff/ptrianta/</t>
        </is>
      </c>
      <c r="J52" s="72" t="inlineStr">
        <is>
          <t>2026-09-15</t>
        </is>
      </c>
    </row>
    <row r="53">
      <c r="A53" s="73" t="inlineStr">
        <is>
          <t>Sweden</t>
        </is>
      </c>
      <c r="B53" s="74" t="inlineStr">
        <is>
          <t>Uppsala University</t>
        </is>
      </c>
      <c r="C53" s="73" t="inlineStr">
        <is>
          <t>Prof. Christian Rohner</t>
        </is>
      </c>
      <c r="D53" s="74" t="inlineStr">
        <is>
          <t>Department of Information Technology</t>
        </is>
      </c>
      <c r="E53" s="74" t="inlineStr">
        <is>
          <t>Computer Networks, Wireless Sensor Networks, IoT Edge Systems</t>
        </is>
      </c>
      <c r="F53" s="74" t="inlineStr">
        <is>
          <t>95.0%</t>
        </is>
      </c>
      <c r="G53" s="74" t="inlineStr">
        <is>
          <t>Tier 1</t>
        </is>
      </c>
      <c r="H53" s="74" t="inlineStr">
        <is>
          <t>STRONG_EVIDENCE</t>
        </is>
      </c>
      <c r="I53" s="74" t="inlineStr">
        <is>
          <t>https://www.katalog.uu.se/profile/?id=N96-1845</t>
        </is>
      </c>
      <c r="J53" s="74" t="inlineStr">
        <is>
          <t>2026-09-15</t>
        </is>
      </c>
    </row>
    <row r="54">
      <c r="A54" s="71" t="inlineStr">
        <is>
          <t>Hong Kong</t>
        </is>
      </c>
      <c r="B54" s="72" t="inlineStr">
        <is>
          <t>The Hong Kong Polytechnic University</t>
        </is>
      </c>
      <c r="C54" s="71" t="inlineStr">
        <is>
          <t>Prof. Jiannong Cao</t>
        </is>
      </c>
      <c r="D54" s="72" t="inlineStr">
        <is>
          <t>Department of Computing (COMP)</t>
        </is>
      </c>
      <c r="E54" s="72" t="inlineStr">
        <is>
          <t>Edge Computing, Edge AI, Distributed Systems</t>
        </is>
      </c>
      <c r="F54" s="72" t="inlineStr">
        <is>
          <t>96.0%</t>
        </is>
      </c>
      <c r="G54" s="72" t="inlineStr">
        <is>
          <t>Tier 1</t>
        </is>
      </c>
      <c r="H54" s="72" t="inlineStr">
        <is>
          <t>CONFIRMED_ACTIVE</t>
        </is>
      </c>
      <c r="I54" s="72" t="inlineStr">
        <is>
          <t>https://www.polyu.edu.hk/comp/people/academic-staff/prof-cao-jiannong/</t>
        </is>
      </c>
      <c r="J54" s="72" t="inlineStr">
        <is>
          <t>2026-09-01</t>
        </is>
      </c>
    </row>
    <row r="55">
      <c r="A55" s="73" t="inlineStr">
        <is>
          <t>Hong Kong</t>
        </is>
      </c>
      <c r="B55" s="74" t="inlineStr">
        <is>
          <t>The Hong Kong Polytechnic University</t>
        </is>
      </c>
      <c r="C55" s="73" t="inlineStr">
        <is>
          <t>Prof. Song Guo</t>
        </is>
      </c>
      <c r="D55" s="74" t="inlineStr">
        <is>
          <t>Department of Computing (COMP)</t>
        </is>
      </c>
      <c r="E55" s="74" t="inlineStr">
        <is>
          <t>Edge Intelligence, Mobile Edge Computing, Federated Learning</t>
        </is>
      </c>
      <c r="F55" s="74" t="inlineStr">
        <is>
          <t>95.0%</t>
        </is>
      </c>
      <c r="G55" s="74" t="inlineStr">
        <is>
          <t>Tier 1</t>
        </is>
      </c>
      <c r="H55" s="74" t="inlineStr">
        <is>
          <t>CONFIRMED_ACTIVE</t>
        </is>
      </c>
      <c r="I55" s="74" t="inlineStr">
        <is>
          <t>https://www.polyu.edu.hk/comp/people/academic-staff/prof-guo-song/</t>
        </is>
      </c>
      <c r="J55" s="74" t="inlineStr">
        <is>
          <t>2026-09-01</t>
        </is>
      </c>
    </row>
    <row r="56">
      <c r="A56" s="71" t="inlineStr">
        <is>
          <t>Hong Kong</t>
        </is>
      </c>
      <c r="B56" s="72" t="inlineStr">
        <is>
          <t>The Chinese University of Hong Kong</t>
        </is>
      </c>
      <c r="C56" s="71" t="inlineStr">
        <is>
          <t>Prof. Minghua Chen</t>
        </is>
      </c>
      <c r="D56" s="72" t="inlineStr">
        <is>
          <t>Department of Information Engineering (IE)</t>
        </is>
      </c>
      <c r="E56" s="72" t="inlineStr">
        <is>
          <t>Online Optimization, Edge Computing Resource Allocation, Green &amp; Sustainable Edge</t>
        </is>
      </c>
      <c r="F56" s="72" t="inlineStr">
        <is>
          <t>93.0%</t>
        </is>
      </c>
      <c r="G56" s="72" t="inlineStr">
        <is>
          <t>Tier 1</t>
        </is>
      </c>
      <c r="H56" s="72" t="inlineStr">
        <is>
          <t>STRONG_EVIDENCE</t>
        </is>
      </c>
      <c r="I56" s="72" t="inlineStr">
        <is>
          <t>https://www.ie.cuhk.edu.hk/people/minghua.shtml</t>
        </is>
      </c>
      <c r="J56" s="72" t="inlineStr">
        <is>
          <t>2026-09-01</t>
        </is>
      </c>
    </row>
    <row r="57">
      <c r="A57" s="73" t="inlineStr">
        <is>
          <t>Hong Kong</t>
        </is>
      </c>
      <c r="B57" s="74" t="inlineStr">
        <is>
          <t>The Chinese University of Hong Kong</t>
        </is>
      </c>
      <c r="C57" s="73" t="inlineStr">
        <is>
          <t>Prof. John C.S. Lui</t>
        </is>
      </c>
      <c r="D57" s="74" t="inlineStr">
        <is>
          <t>Department of Computer Science and Engineering (CSE)</t>
        </is>
      </c>
      <c r="E57" s="74" t="inlineStr">
        <is>
          <t>Network Systems, Edge Caching, Reinforcement Learning in Networking</t>
        </is>
      </c>
      <c r="F57" s="74" t="inlineStr">
        <is>
          <t>92.0%</t>
        </is>
      </c>
      <c r="G57" s="74" t="inlineStr">
        <is>
          <t>Tier 1</t>
        </is>
      </c>
      <c r="H57" s="74" t="inlineStr">
        <is>
          <t>STRONG_EVIDENCE</t>
        </is>
      </c>
      <c r="I57" s="74" t="inlineStr">
        <is>
          <t>https://www.cse.cuhk.edu.hk/people/faculty/john-c-s-lui/</t>
        </is>
      </c>
      <c r="J57" s="74" t="inlineStr">
        <is>
          <t>2026-09-01</t>
        </is>
      </c>
    </row>
    <row r="58">
      <c r="A58" s="71" t="inlineStr">
        <is>
          <t>Hong Kong</t>
        </is>
      </c>
      <c r="B58" s="72" t="inlineStr">
        <is>
          <t>The Hong Kong University of Science and Technology</t>
        </is>
      </c>
      <c r="C58" s="71" t="inlineStr">
        <is>
          <t>Prof. Wei Wang</t>
        </is>
      </c>
      <c r="D58" s="72" t="inlineStr">
        <is>
          <t>Department of Computer Science and Engineering (CSE)</t>
        </is>
      </c>
      <c r="E58" s="72" t="inlineStr">
        <is>
          <t>Distributed Machine Learning, Edge Intelligence, Cloud-Edge Systems</t>
        </is>
      </c>
      <c r="F58" s="72" t="inlineStr">
        <is>
          <t>96.0%</t>
        </is>
      </c>
      <c r="G58" s="72" t="inlineStr">
        <is>
          <t>Tier 1</t>
        </is>
      </c>
      <c r="H58" s="72" t="inlineStr">
        <is>
          <t>CONFIRMED_ACTIVE</t>
        </is>
      </c>
      <c r="I58" s="72" t="inlineStr">
        <is>
          <t>https://cse.hkust.edu.hk/admin/people/faculty/profile/weiwa</t>
        </is>
      </c>
      <c r="J58" s="72" t="inlineStr">
        <is>
          <t>2026-09-01</t>
        </is>
      </c>
    </row>
    <row r="59">
      <c r="A59" s="73" t="inlineStr">
        <is>
          <t>Hong Kong</t>
        </is>
      </c>
      <c r="B59" s="74" t="inlineStr">
        <is>
          <t>The Hong Kong University of Science and Technology</t>
        </is>
      </c>
      <c r="C59" s="73" t="inlineStr">
        <is>
          <t>Prof. Lin Wang</t>
        </is>
      </c>
      <c r="D59" s="74" t="inlineStr">
        <is>
          <t>Department of Computer Science and Engineering (CSE)</t>
        </is>
      </c>
      <c r="E59" s="74" t="inlineStr">
        <is>
          <t>Edge Computing Systems, Serverless Edge Computing, Cloud-Edge Resource Allocation</t>
        </is>
      </c>
      <c r="F59" s="74" t="inlineStr">
        <is>
          <t>95.0%</t>
        </is>
      </c>
      <c r="G59" s="74" t="inlineStr">
        <is>
          <t>Tier 1</t>
        </is>
      </c>
      <c r="H59" s="74" t="inlineStr">
        <is>
          <t>CONFIRMED_ACTIVE</t>
        </is>
      </c>
      <c r="I59" s="74" t="inlineStr">
        <is>
          <t>https://cse.hkust.edu.hk/admin/people/faculty/profile/linwang</t>
        </is>
      </c>
      <c r="J59" s="74" t="inlineStr">
        <is>
          <t>2026-09-01</t>
        </is>
      </c>
    </row>
    <row r="60">
      <c r="A60" s="71" t="inlineStr">
        <is>
          <t>Hong Kong</t>
        </is>
      </c>
      <c r="B60" s="72" t="inlineStr">
        <is>
          <t>The University of Hong Kong</t>
        </is>
      </c>
      <c r="C60" s="71" t="inlineStr">
        <is>
          <t>Prof. Chuan Wu</t>
        </is>
      </c>
      <c r="D60" s="72" t="inlineStr">
        <is>
          <t>Department of Computer Science (CS)</t>
        </is>
      </c>
      <c r="E60" s="72" t="inlineStr">
        <is>
          <t>Cloud and Edge Computing, Distributed Machine Learning Systems, Resource Scheduling</t>
        </is>
      </c>
      <c r="F60" s="72" t="inlineStr">
        <is>
          <t>96.0%</t>
        </is>
      </c>
      <c r="G60" s="72" t="inlineStr">
        <is>
          <t>Tier 1</t>
        </is>
      </c>
      <c r="H60" s="72" t="inlineStr">
        <is>
          <t>CONFIRMED_ACTIVE</t>
        </is>
      </c>
      <c r="I60" s="72" t="inlineStr">
        <is>
          <t>https://www.cs.hku.hk/people/academic-staff/cwu</t>
        </is>
      </c>
      <c r="J60" s="72" t="inlineStr">
        <is>
          <t>2026-09-01</t>
        </is>
      </c>
    </row>
    <row r="61">
      <c r="A61" s="73" t="inlineStr">
        <is>
          <t>Hong Kong</t>
        </is>
      </c>
      <c r="B61" s="74" t="inlineStr">
        <is>
          <t>The University of Hong Kong</t>
        </is>
      </c>
      <c r="C61" s="73" t="inlineStr">
        <is>
          <t>Prof. Heming Cui</t>
        </is>
      </c>
      <c r="D61" s="74" t="inlineStr">
        <is>
          <t>Department of Computer Science (CS)</t>
        </is>
      </c>
      <c r="E61" s="74" t="inlineStr">
        <is>
          <t>Distributed Systems, Concurrency, Fault Tolerance</t>
        </is>
      </c>
      <c r="F61" s="74" t="inlineStr">
        <is>
          <t>93.0%</t>
        </is>
      </c>
      <c r="G61" s="74" t="inlineStr">
        <is>
          <t>Tier 1</t>
        </is>
      </c>
      <c r="H61" s="74" t="inlineStr">
        <is>
          <t>STRONG_EVIDENCE</t>
        </is>
      </c>
      <c r="I61" s="74" t="inlineStr">
        <is>
          <t>https://www.cs.hku.hk/people/academic-staff/heming</t>
        </is>
      </c>
      <c r="J61" s="74" t="inlineStr">
        <is>
          <t>2026-09-01</t>
        </is>
      </c>
    </row>
    <row r="62">
      <c r="A62" s="71" t="inlineStr">
        <is>
          <t>Hong Kong</t>
        </is>
      </c>
      <c r="B62" s="72" t="inlineStr">
        <is>
          <t>City University of Hong Kong</t>
        </is>
      </c>
      <c r="C62" s="71" t="inlineStr">
        <is>
          <t>Prof. Jianping Wang</t>
        </is>
      </c>
      <c r="D62" s="72" t="inlineStr">
        <is>
          <t>Department of Computer Science (CS)</t>
        </is>
      </c>
      <c r="E62" s="72" t="inlineStr">
        <is>
          <t>Edge Computing in Connected Vehicles, Autonomous Driving Systems, Cloud Computing</t>
        </is>
      </c>
      <c r="F62" s="72" t="inlineStr">
        <is>
          <t>95.0%</t>
        </is>
      </c>
      <c r="G62" s="72" t="inlineStr">
        <is>
          <t>Tier 1</t>
        </is>
      </c>
      <c r="H62" s="72" t="inlineStr">
        <is>
          <t>CONFIRMED_ACTIVE</t>
        </is>
      </c>
      <c r="I62" s="72" t="inlineStr">
        <is>
          <t>https://www.cs.cityu.edu.hk/people/academic-staff/jianwang</t>
        </is>
      </c>
      <c r="J62" s="72" t="inlineStr">
        <is>
          <t>2026-09-01</t>
        </is>
      </c>
    </row>
    <row r="63">
      <c r="A63" s="73" t="inlineStr">
        <is>
          <t>Hong Kong</t>
        </is>
      </c>
      <c r="B63" s="74" t="inlineStr">
        <is>
          <t>Hong Kong Baptist University</t>
        </is>
      </c>
      <c r="C63" s="73" t="inlineStr">
        <is>
          <t>Prof. Xiaowen Chu</t>
        </is>
      </c>
      <c r="D63" s="74" t="inlineStr">
        <is>
          <t>Department of Computer Science (COMP)</t>
        </is>
      </c>
      <c r="E63" s="74" t="inlineStr">
        <is>
          <t>GPU Computing, Deep Learning Systems, Edge AI Inference</t>
        </is>
      </c>
      <c r="F63" s="74" t="inlineStr">
        <is>
          <t>92.0%</t>
        </is>
      </c>
      <c r="G63" s="74" t="inlineStr">
        <is>
          <t>Tier 1</t>
        </is>
      </c>
      <c r="H63" s="74" t="inlineStr">
        <is>
          <t>CONFIRMED_ACTIVE</t>
        </is>
      </c>
      <c r="I63" s="74" t="inlineStr">
        <is>
          <t>https://www.comp.hkbu.edu.hk/v1/?page=profile&amp;id=chxw</t>
        </is>
      </c>
      <c r="J63" s="74" t="inlineStr">
        <is>
          <t>2026-09-01</t>
        </is>
      </c>
    </row>
    <row r="64">
      <c r="A64" s="71" t="inlineStr">
        <is>
          <t>Hong Kong</t>
        </is>
      </c>
      <c r="B64" s="72" t="inlineStr">
        <is>
          <t>Lingnan University</t>
        </is>
      </c>
      <c r="C64" s="71" t="inlineStr">
        <is>
          <t>Prof. Sam Kwong</t>
        </is>
      </c>
      <c r="D64" s="72" t="inlineStr">
        <is>
          <t>School of Data Science</t>
        </is>
      </c>
      <c r="E64" s="72" t="inlineStr">
        <is>
          <t>Computational Intelligence, Video Compression for Edge Devices, Evolutionary Computation</t>
        </is>
      </c>
      <c r="F64" s="72" t="inlineStr">
        <is>
          <t>85.0%</t>
        </is>
      </c>
      <c r="G64" s="72" t="inlineStr">
        <is>
          <t>Tier 2</t>
        </is>
      </c>
      <c r="H64" s="72" t="inlineStr">
        <is>
          <t>STRONG_EVIDENCE</t>
        </is>
      </c>
      <c r="I64" s="72" t="inlineStr">
        <is>
          <t>https://www.ln.edu.hk/sds/people/faculty/prof-kwong-tak-wu-sam</t>
        </is>
      </c>
      <c r="J64" s="72" t="inlineStr">
        <is>
          <t>2026-09-01</t>
        </is>
      </c>
    </row>
    <row r="65">
      <c r="A65" s="73" t="inlineStr">
        <is>
          <t>Hong Kong</t>
        </is>
      </c>
      <c r="B65" s="74" t="inlineStr">
        <is>
          <t>The Education University of Hong Kong</t>
        </is>
      </c>
      <c r="C65" s="73" t="inlineStr">
        <is>
          <t>Prof. Philip L.H. Yu</t>
        </is>
      </c>
      <c r="D65" s="74" t="inlineStr">
        <is>
          <t>Department of Mathematics and Information Technology (MIT)</t>
        </is>
      </c>
      <c r="E65" s="74" t="inlineStr">
        <is>
          <t>Statistical Machine Learning, Distributed IoT Stream Analytics, Anomaly Detection</t>
        </is>
      </c>
      <c r="F65" s="74" t="inlineStr">
        <is>
          <t>78.0%</t>
        </is>
      </c>
      <c r="G65" s="74" t="inlineStr">
        <is>
          <t>Tier 3</t>
        </is>
      </c>
      <c r="H65" s="74" t="inlineStr">
        <is>
          <t>POSSIBLE</t>
        </is>
      </c>
      <c r="I65" s="74" t="inlineStr">
        <is>
          <t>https://www.eduhk.hk/mit/people/academic-staff/yu-leung-ho-philip</t>
        </is>
      </c>
      <c r="J65" s="74" t="inlineStr">
        <is>
          <t>2026-09-01</t>
        </is>
      </c>
    </row>
  </sheetData>
  <mergeCells count="1">
    <mergeCell ref="A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17" customWidth="1" min="1" max="1"/>
    <col width="40" customWidth="1" min="2" max="2"/>
    <col width="40" customWidth="1" min="3" max="3"/>
    <col width="15" customWidth="1" min="4" max="4"/>
    <col width="40" customWidth="1" min="5" max="5"/>
    <col width="40" customWidth="1" min="6" max="6"/>
    <col width="23" customWidth="1" min="7" max="7"/>
    <col width="20" customWidth="1" min="8" max="8"/>
    <col width="40" customWidth="1" min="9" max="9"/>
  </cols>
  <sheetData>
    <row r="1" ht="36" customHeight="1">
      <c r="A1" s="69" t="inlineStr">
        <is>
          <t>GLOBAL DOCTORAL FUNDING &amp; SCHOLARSHIPS DIRECTORY</t>
        </is>
      </c>
    </row>
    <row r="2"/>
    <row r="3" ht="24" customHeight="1">
      <c r="A3" s="70" t="inlineStr">
        <is>
          <t>Country</t>
        </is>
      </c>
      <c r="B3" s="70" t="inlineStr">
        <is>
          <t>University / Provider</t>
        </is>
      </c>
      <c r="C3" s="70" t="inlineStr">
        <is>
          <t>Scheme Title</t>
        </is>
      </c>
      <c r="D3" s="70" t="inlineStr">
        <is>
          <t>Funding Type</t>
        </is>
      </c>
      <c r="E3" s="70" t="inlineStr">
        <is>
          <t>Tuition Coverage</t>
        </is>
      </c>
      <c r="F3" s="70" t="inlineStr">
        <is>
          <t>Stipend / Salary</t>
        </is>
      </c>
      <c r="G3" s="70" t="inlineStr">
        <is>
          <t>International Access</t>
        </is>
      </c>
      <c r="H3" s="70" t="inlineStr">
        <is>
          <t>Dependant Support</t>
        </is>
      </c>
      <c r="I3" s="70" t="inlineStr">
        <is>
          <t>Application Deadline</t>
        </is>
      </c>
    </row>
    <row r="4">
      <c r="A4" s="71" t="inlineStr">
        <is>
          <t>United Kingdom</t>
        </is>
      </c>
      <c r="B4" s="72" t="inlineStr">
        <is>
          <t>All UKRI-Partnered Universities (Imperial, Cambridge, Oxford, Edinburgh, etc.)</t>
        </is>
      </c>
      <c r="C4" s="71" t="inlineStr">
        <is>
          <t>UKRI / EPSRC Doctoral Studentships (DTP / ICASE / CDT)</t>
        </is>
      </c>
      <c r="D4" s="72" t="inlineStr">
        <is>
          <t>FULLY_FUNDED</t>
        </is>
      </c>
      <c r="E4" s="72" t="inlineStr">
        <is>
          <t>Full tuition fees covered for standard PhD duration (including international fee waivers within quota)</t>
        </is>
      </c>
      <c r="F4" s="72" t="inlineStr">
        <is>
          <t>£19,237/year minimum UKRI tax-free stipend (higher rate of ~£21,500/year for London institutions) + research travel grant</t>
        </is>
      </c>
      <c r="G4" s="72" t="inlineStr">
        <is>
          <t>ELIGIBLE</t>
        </is>
      </c>
      <c r="H4" s="72" t="inlineStr">
        <is>
          <t>PERMITTED</t>
        </is>
      </c>
      <c r="I4" s="72" t="inlineStr">
        <is>
          <t>2026-12-15</t>
        </is>
      </c>
    </row>
    <row r="5">
      <c r="A5" s="73" t="inlineStr">
        <is>
          <t>United Kingdom</t>
        </is>
      </c>
      <c r="B5" s="74" t="inlineStr">
        <is>
          <t>University of Cambridge</t>
        </is>
      </c>
      <c r="C5" s="73" t="inlineStr">
        <is>
          <t>Gates Cambridge Scholarship (PhD Track)</t>
        </is>
      </c>
      <c r="D5" s="74" t="inlineStr">
        <is>
          <t>FULLY_FUNDED</t>
        </is>
      </c>
      <c r="E5" s="74" t="inlineStr">
        <is>
          <t>Full Cambridge University Composition Fee covered</t>
        </is>
      </c>
      <c r="F5" s="74" t="inlineStr">
        <is>
          <t>£21,000/year tax-free maintenance allowance + up to £11,604/year family allowance for dependants</t>
        </is>
      </c>
      <c r="G5" s="74" t="inlineStr">
        <is>
          <t>ELIGIBLE</t>
        </is>
      </c>
      <c r="H5" s="74" t="inlineStr">
        <is>
          <t>EXCELLENT</t>
        </is>
      </c>
      <c r="I5" s="74" t="inlineStr">
        <is>
          <t>2026-12-03</t>
        </is>
      </c>
    </row>
    <row r="6">
      <c r="A6" s="71" t="inlineStr">
        <is>
          <t>United Kingdom</t>
        </is>
      </c>
      <c r="B6" s="72" t="inlineStr">
        <is>
          <t>Imperial College London</t>
        </is>
      </c>
      <c r="C6" s="71" t="inlineStr">
        <is>
          <t>Imperial College President's PhD Scholarships</t>
        </is>
      </c>
      <c r="D6" s="72" t="inlineStr">
        <is>
          <t>FULLY_FUNDED</t>
        </is>
      </c>
      <c r="E6" s="72" t="inlineStr">
        <is>
          <t>Full international or home tuition fees covered</t>
        </is>
      </c>
      <c r="F6" s="72" t="inlineStr">
        <is>
          <t>£25,150/year tax-free stipend + £2,000/year consumables fund</t>
        </is>
      </c>
      <c r="G6" s="72" t="inlineStr">
        <is>
          <t>ELIGIBLE</t>
        </is>
      </c>
      <c r="H6" s="72" t="inlineStr">
        <is>
          <t>PERMITTED</t>
        </is>
      </c>
      <c r="I6" s="72" t="inlineStr">
        <is>
          <t>2026-11-06</t>
        </is>
      </c>
    </row>
    <row r="7">
      <c r="A7" s="73" t="inlineStr">
        <is>
          <t>United Kingdom</t>
        </is>
      </c>
      <c r="B7" s="74" t="inlineStr">
        <is>
          <t>University of Edinburgh</t>
        </is>
      </c>
      <c r="C7" s="73" t="inlineStr">
        <is>
          <t>Principal's Career Development PhD Scholarships</t>
        </is>
      </c>
      <c r="D7" s="74" t="inlineStr">
        <is>
          <t>FULLY_FUNDED</t>
        </is>
      </c>
      <c r="E7" s="74" t="inlineStr">
        <is>
          <t>Full tuition fees at UK or Overseas rate</t>
        </is>
      </c>
      <c r="F7" s="74" t="inlineStr">
        <is>
          <t>£19,237/year stipend matching UKRI rate</t>
        </is>
      </c>
      <c r="G7" s="74" t="inlineStr">
        <is>
          <t>ELIGIBLE</t>
        </is>
      </c>
      <c r="H7" s="74" t="inlineStr">
        <is>
          <t>PERMITTED</t>
        </is>
      </c>
      <c r="I7" s="74" t="inlineStr">
        <is>
          <t>2026-12-01</t>
        </is>
      </c>
    </row>
    <row r="8">
      <c r="A8" s="71" t="inlineStr">
        <is>
          <t>Japan</t>
        </is>
      </c>
      <c r="B8" s="72" t="inlineStr">
        <is>
          <t>All Designated National Universities (UTokyo, Kyoto, Tokyo Tech, Osaka, Keio, etc.)</t>
        </is>
      </c>
      <c r="C8" s="71" t="inlineStr">
        <is>
          <t>Japanese Government (MEXT) Doctoral Scholarship (University &amp; Embassy Track)</t>
        </is>
      </c>
      <c r="D8" s="72" t="inlineStr">
        <is>
          <t>FULLY_FUNDED</t>
        </is>
      </c>
      <c r="E8" s="72" t="inlineStr">
        <is>
          <t>Full 100% waiver of university examination, admission, and tuition fees</t>
        </is>
      </c>
      <c r="F8" s="72" t="inlineStr">
        <is>
          <t>145,000 - 148,000 JPY/month tax-free living allowance + roundtrip international airfare</t>
        </is>
      </c>
      <c r="G8" s="72" t="inlineStr">
        <is>
          <t>ELIGIBLE</t>
        </is>
      </c>
      <c r="H8" s="72" t="inlineStr">
        <is>
          <t>PERMITTED</t>
        </is>
      </c>
      <c r="I8" s="72" t="inlineStr">
        <is>
          <t>2026-11-30</t>
        </is>
      </c>
    </row>
    <row r="9">
      <c r="A9" s="73" t="inlineStr">
        <is>
          <t>Japan</t>
        </is>
      </c>
      <c r="B9" s="74" t="inlineStr">
        <is>
          <t>All Japanese Universities &amp; Research Institutes</t>
        </is>
      </c>
      <c r="C9" s="73" t="inlineStr">
        <is>
          <t>JSPS Research Fellowship for Young Scientists (DC1 / DC2)</t>
        </is>
      </c>
      <c r="D9" s="74" t="inlineStr">
        <is>
          <t>FULLY_FUNDED</t>
        </is>
      </c>
      <c r="E9" s="74" t="inlineStr">
        <is>
          <t>Institutional tuition waiver or subsidy typically granted to awardees</t>
        </is>
      </c>
      <c r="F9" s="74" t="inlineStr">
        <is>
          <t>200,000 JPY/month monthly research stipend + up to 1,500,000 JPY/year Grants-in-Aid for Scientific Research (KAKENHI)</t>
        </is>
      </c>
      <c r="G9" s="74" t="inlineStr">
        <is>
          <t>ELIGIBLE</t>
        </is>
      </c>
      <c r="H9" s="74" t="inlineStr">
        <is>
          <t>PERMITTED</t>
        </is>
      </c>
      <c r="I9" s="74" t="inlineStr">
        <is>
          <t>2026-05-15</t>
        </is>
      </c>
    </row>
    <row r="10">
      <c r="A10" s="71" t="inlineStr">
        <is>
          <t>Japan</t>
        </is>
      </c>
      <c r="B10" s="72" t="inlineStr">
        <is>
          <t>The University of Tokyo</t>
        </is>
      </c>
      <c r="C10" s="71" t="inlineStr">
        <is>
          <t>The University of Tokyo Special Scholarship for International Students (UTokyo Fellowship)</t>
        </is>
      </c>
      <c r="D10" s="72" t="inlineStr">
        <is>
          <t>FULLY_FUNDED</t>
        </is>
      </c>
      <c r="E10" s="72" t="inlineStr">
        <is>
          <t>Full tuition fees covered through institutional grants</t>
        </is>
      </c>
      <c r="F10" s="72" t="inlineStr">
        <is>
          <t>150,000 - 200,000 JPY/month research grant stipend</t>
        </is>
      </c>
      <c r="G10" s="72" t="inlineStr">
        <is>
          <t>ELIGIBLE</t>
        </is>
      </c>
      <c r="H10" s="72" t="inlineStr">
        <is>
          <t>PERMITTED</t>
        </is>
      </c>
      <c r="I10" s="72" t="inlineStr">
        <is>
          <t>2026-11-15</t>
        </is>
      </c>
    </row>
    <row r="11">
      <c r="A11" s="73" t="inlineStr">
        <is>
          <t>Japan</t>
        </is>
      </c>
      <c r="B11" s="74" t="inlineStr">
        <is>
          <t>Partner Japanese Universities (Kyoto, Tokyo Tech, Osaka, Keio, Tohoku)</t>
        </is>
      </c>
      <c r="C11" s="73" t="inlineStr">
        <is>
          <t>JST SPRING Doctoral Research Fellowship</t>
        </is>
      </c>
      <c r="D11" s="74" t="inlineStr">
        <is>
          <t>FULLY_FUNDED</t>
        </is>
      </c>
      <c r="E11" s="74" t="inlineStr">
        <is>
          <t>Full tuition exemption or institutional coverage</t>
        </is>
      </c>
      <c r="F11" s="74" t="inlineStr">
        <is>
          <t>180,000 - 200,000 JPY/month living grant + 300,000 - 500,000 JPY/year research budget</t>
        </is>
      </c>
      <c r="G11" s="74" t="inlineStr">
        <is>
          <t>ELIGIBLE</t>
        </is>
      </c>
      <c r="H11" s="74" t="inlineStr">
        <is>
          <t>PERMITTED</t>
        </is>
      </c>
      <c r="I11" s="74" t="inlineStr">
        <is>
          <t>2026-12-01</t>
        </is>
      </c>
    </row>
    <row r="12">
      <c r="A12" s="71" t="inlineStr">
        <is>
          <t>Germany</t>
        </is>
      </c>
      <c r="B12" s="72" t="inlineStr">
        <is>
          <t>All German Public Universities (TUM, RWTH Aachen, TU Berlin, KIT, TU Dresden, etc.)</t>
        </is>
      </c>
      <c r="C12" s="71" t="inlineStr">
        <is>
          <t>TV-L E13 Research Associate (Wissenschaftlicher Mitarbeiter / Doctoral Position)</t>
        </is>
      </c>
      <c r="D12" s="72" t="inlineStr">
        <is>
          <t>FULLY_FUNDED</t>
        </is>
      </c>
      <c r="E12" s="72" t="inlineStr">
        <is>
          <t>Full tuition-free education (German public universities charge zero tuition; only nominal semester fee ~€150-€350 including transit pass)</t>
        </is>
      </c>
      <c r="F12" s="72" t="inlineStr">
        <is>
          <t>€48,000 - €56,000 gross/year (100% TV-L E13 salary) or €36,000 - €42,000 (75% TV-L E13), including full health, unemployment, and statutory pension insurance</t>
        </is>
      </c>
      <c r="G12" s="72" t="inlineStr">
        <is>
          <t>ELIGIBLE</t>
        </is>
      </c>
      <c r="H12" s="72" t="inlineStr">
        <is>
          <t>EXCELLENT</t>
        </is>
      </c>
      <c r="I12" s="72" t="inlineStr">
        <is>
          <t>2026-12-01</t>
        </is>
      </c>
    </row>
    <row r="13">
      <c r="A13" s="73" t="inlineStr">
        <is>
          <t>Germany</t>
        </is>
      </c>
      <c r="B13" s="74" t="inlineStr">
        <is>
          <t>All Accredited German Universities / Max Planck / Helmholtz Institutes</t>
        </is>
      </c>
      <c r="C13" s="73" t="inlineStr">
        <is>
          <t>DAAD Doctoral Research Grants (One-Year Grants / Complete Doctorate)</t>
        </is>
      </c>
      <c r="D13" s="74" t="inlineStr">
        <is>
          <t>FULLY_FUNDED</t>
        </is>
      </c>
      <c r="E13" s="74" t="inlineStr">
        <is>
          <t>Zero tuition at German universities; DAAD covers all mandatory semester contributions</t>
        </is>
      </c>
      <c r="F13" s="74" t="inlineStr">
        <is>
          <t>€1,350/month tax-free stipend + €460/year research allowance + monthly spouse/child supplement (€276/mo spouse + €204/mo child) + comprehensive health insurance</t>
        </is>
      </c>
      <c r="G13" s="74" t="inlineStr">
        <is>
          <t>ELIGIBLE</t>
        </is>
      </c>
      <c r="H13" s="74" t="inlineStr">
        <is>
          <t>EXCELLENT</t>
        </is>
      </c>
      <c r="I13" s="74" t="inlineStr">
        <is>
          <t>2026-11-01</t>
        </is>
      </c>
    </row>
    <row r="14">
      <c r="A14" s="71" t="inlineStr">
        <is>
          <t>Germany</t>
        </is>
      </c>
      <c r="B14" s="72" t="inlineStr">
        <is>
          <t>Participating DFG Research Training Groups (TUM, RWTH, TU Dresden, etc.)</t>
        </is>
      </c>
      <c r="C14" s="71" t="inlineStr">
        <is>
          <t>DFG Research Training Group (Graduiertenkolleg) Doctoral Positions</t>
        </is>
      </c>
      <c r="D14" s="72" t="inlineStr">
        <is>
          <t>FULLY_FUNDED</t>
        </is>
      </c>
      <c r="E14" s="72" t="inlineStr">
        <is>
          <t>Zero tuition + travel grants + workshop subsidies</t>
        </is>
      </c>
      <c r="F14" s="72" t="inlineStr">
        <is>
          <t>Full TV-L E13 employment contract (~€50,000/yr gross) or tax-free DFG doctoral fellowship (~€1,600/mo + child allowances)</t>
        </is>
      </c>
      <c r="G14" s="72" t="inlineStr">
        <is>
          <t>ELIGIBLE</t>
        </is>
      </c>
      <c r="H14" s="72" t="inlineStr">
        <is>
          <t>EXCELLENT</t>
        </is>
      </c>
      <c r="I14" s="72" t="inlineStr">
        <is>
          <t>2026-12-15</t>
        </is>
      </c>
    </row>
    <row r="15">
      <c r="A15" s="73" t="inlineStr">
        <is>
          <t>United States</t>
        </is>
      </c>
      <c r="B15" s="74" t="inlineStr">
        <is>
          <t>All Major US Research Universities (CMU, Berkeley, UT Austin, UIUC, MIT, Stanford, etc.)</t>
        </is>
      </c>
      <c r="C15" s="73" t="inlineStr">
        <is>
          <t>Full Graduate Research Assistantship (GRA / RA / Teaching Assistantship GTA)</t>
        </is>
      </c>
      <c r="D15" s="74" t="inlineStr">
        <is>
          <t>FULLY_FUNDED</t>
        </is>
      </c>
      <c r="E15" s="74" t="inlineStr">
        <is>
          <t>100% full tuition waiver and mandatory university fee coverage for duration of PhD</t>
        </is>
      </c>
      <c r="F15" s="74" t="inlineStr">
        <is>
          <t>$32,000 - $48,000/year living stipend paid semi-monthly + university-subsidized comprehensive health, dental, and vision insurance</t>
        </is>
      </c>
      <c r="G15" s="74" t="inlineStr">
        <is>
          <t>ELIGIBLE</t>
        </is>
      </c>
      <c r="H15" s="74" t="inlineStr">
        <is>
          <t>PERMITTED</t>
        </is>
      </c>
      <c r="I15" s="74" t="inlineStr">
        <is>
          <t>2026-12-15</t>
        </is>
      </c>
    </row>
    <row r="16">
      <c r="A16" s="71" t="inlineStr">
        <is>
          <t>United States</t>
        </is>
      </c>
      <c r="B16" s="72" t="inlineStr">
        <is>
          <t>All Accredited US Institutions</t>
        </is>
      </c>
      <c r="C16" s="71" t="inlineStr">
        <is>
          <t>Doctoral Departmental &amp; Institutional Fellowships (Dean's Fellowship / Chancellor's Fellowship)</t>
        </is>
      </c>
      <c r="D16" s="72" t="inlineStr">
        <is>
          <t>FULLY_FUNDED</t>
        </is>
      </c>
      <c r="E16" s="72" t="inlineStr">
        <is>
          <t>Full tuition and fee waiver</t>
        </is>
      </c>
      <c r="F16" s="72" t="inlineStr">
        <is>
          <t>$38,000 - $45,000/year tax-free stipend with zero teaching obligations in year 1</t>
        </is>
      </c>
      <c r="G16" s="72" t="inlineStr">
        <is>
          <t>ELIGIBLE</t>
        </is>
      </c>
      <c r="H16" s="72" t="inlineStr">
        <is>
          <t>PERMITTED</t>
        </is>
      </c>
      <c r="I16" s="72" t="inlineStr">
        <is>
          <t>2026-12-10</t>
        </is>
      </c>
    </row>
    <row r="17">
      <c r="A17" s="73" t="inlineStr">
        <is>
          <t>United States</t>
        </is>
      </c>
      <c r="B17" s="74" t="inlineStr">
        <is>
          <t>Accredited US Universities</t>
        </is>
      </c>
      <c r="C17" s="73" t="inlineStr">
        <is>
          <t>Fulbright Foreign Student Program (Doctoral Track)</t>
        </is>
      </c>
      <c r="D17" s="74" t="inlineStr">
        <is>
          <t>FULLY_FUNDED</t>
        </is>
      </c>
      <c r="E17" s="74" t="inlineStr">
        <is>
          <t>Full tuition and mandatory fees covered</t>
        </is>
      </c>
      <c r="F17" s="74" t="inlineStr">
        <is>
          <t>Monthly maintenance stipend calibrated to host city cost of living + health benefits + J-2 spouse work eligibility (EAD)</t>
        </is>
      </c>
      <c r="G17" s="74" t="inlineStr">
        <is>
          <t>ELIGIBLE</t>
        </is>
      </c>
      <c r="H17" s="74" t="inlineStr">
        <is>
          <t>PERMITTED</t>
        </is>
      </c>
      <c r="I17" s="74" t="inlineStr">
        <is>
          <t>2026-05-15</t>
        </is>
      </c>
    </row>
    <row r="18">
      <c r="A18" s="71" t="inlineStr">
        <is>
          <t>Canada</t>
        </is>
      </c>
      <c r="B18" s="72" t="inlineStr">
        <is>
          <t>All Participating Canadian Institutions (Toronto, Waterloo, UBC, McGill, Alberta, etc.)</t>
        </is>
      </c>
      <c r="C18" s="71" t="inlineStr">
        <is>
          <t>Vanier Canada Graduate Scholarships (Vanier CGS)</t>
        </is>
      </c>
      <c r="D18" s="72" t="inlineStr">
        <is>
          <t>FULLY_FUNDED</t>
        </is>
      </c>
      <c r="E18" s="72" t="inlineStr">
        <is>
          <t>Full tuition waivers typically awarded alongside fellowship by host institution</t>
        </is>
      </c>
      <c r="F18" s="72" t="inlineStr">
        <is>
          <t>CAD $50,000/year tax-free stipend + Spousal Open Work Permit (SOWP) eligibility</t>
        </is>
      </c>
      <c r="G18" s="72" t="inlineStr">
        <is>
          <t>ELIGIBLE</t>
        </is>
      </c>
      <c r="H18" s="72" t="inlineStr">
        <is>
          <t>GOOD</t>
        </is>
      </c>
      <c r="I18" s="72" t="inlineStr">
        <is>
          <t>2026-11-01</t>
        </is>
      </c>
    </row>
    <row r="19">
      <c r="A19" s="73" t="inlineStr">
        <is>
          <t>Canada</t>
        </is>
      </c>
      <c r="B19" s="74" t="inlineStr">
        <is>
          <t>Canadian Research Universities (Toronto, Waterloo, UBC, McGill)</t>
        </is>
      </c>
      <c r="C19" s="73" t="inlineStr">
        <is>
          <t>Guaranteed Minimum Doctoral Funding Package (Research &amp; Teaching Assistantships)</t>
        </is>
      </c>
      <c r="D19" s="74" t="inlineStr">
        <is>
          <t>FULLY_FUNDED</t>
        </is>
      </c>
      <c r="E19" s="74" t="inlineStr">
        <is>
          <t>Full international tuition differential fee waiver or reimbursement</t>
        </is>
      </c>
      <c r="F19" s="74" t="inlineStr">
        <is>
          <t>CAD $25,000 - $35,000/year base living funding (after tuition is covered)</t>
        </is>
      </c>
      <c r="G19" s="74" t="inlineStr">
        <is>
          <t>ELIGIBLE</t>
        </is>
      </c>
      <c r="H19" s="74" t="inlineStr">
        <is>
          <t>GOOD</t>
        </is>
      </c>
      <c r="I19" s="74" t="inlineStr">
        <is>
          <t>2026-12-15</t>
        </is>
      </c>
    </row>
    <row r="20">
      <c r="A20" s="71" t="inlineStr">
        <is>
          <t>Sweden</t>
        </is>
      </c>
      <c r="B20" s="72" t="inlineStr">
        <is>
          <t>All Swedish Public Universities (KTH, Chalmers, Lund, Uppsala, Umeå, Linköping)</t>
        </is>
      </c>
      <c r="C20" s="71" t="inlineStr">
        <is>
          <t>Swedish Salaried Doctoral Position (Doktorandanställning)</t>
        </is>
      </c>
      <c r="D20" s="72" t="inlineStr">
        <is>
          <t>FULLY_FUNDED</t>
        </is>
      </c>
      <c r="E20" s="72" t="inlineStr">
        <is>
          <t>Full 100% free tuition for all doctoral students (tuition fees are legally waived by Swedish law for PhD researchers)</t>
        </is>
      </c>
      <c r="F20" s="72" t="inlineStr">
        <is>
          <t>31,000 - 35,500 SEK/month gross employment salary (regulated by collective bargaining agreements) + full statutory pension, paid vacation (28 days/yr), healthcare, and parental leave benefits</t>
        </is>
      </c>
      <c r="G20" s="72" t="inlineStr">
        <is>
          <t>ELIGIBLE</t>
        </is>
      </c>
      <c r="H20" s="72" t="inlineStr">
        <is>
          <t>EXCELLENT</t>
        </is>
      </c>
      <c r="I20" s="72" t="inlineStr">
        <is>
          <t>2026-12-01</t>
        </is>
      </c>
    </row>
    <row r="21">
      <c r="A21" s="73" t="inlineStr">
        <is>
          <t>Sweden</t>
        </is>
      </c>
      <c r="B21" s="74" t="inlineStr">
        <is>
          <t>WASP Partner Universities (KTH, Chalmers, Lund, Umeå, Linköping)</t>
        </is>
      </c>
      <c r="C21" s="73" t="inlineStr">
        <is>
          <t>Wallenberg AI, Autonomous Systems and Software Program (WASP) PhD Fellowship</t>
        </is>
      </c>
      <c r="D21" s="74" t="inlineStr">
        <is>
          <t>FULLY_FUNDED</t>
        </is>
      </c>
      <c r="E21" s="74" t="inlineStr">
        <is>
          <t>Zero tuition + SEK 500,000/year individual research &amp; compute travel budget</t>
        </is>
      </c>
      <c r="F21" s="74" t="inlineStr">
        <is>
          <t>Full Swedish salaried doctoral contract (~33,000 SEK/month) + fully funded international research visits at top global labs (MIT, Stanford, Berkeley)</t>
        </is>
      </c>
      <c r="G21" s="74" t="inlineStr">
        <is>
          <t>ELIGIBLE</t>
        </is>
      </c>
      <c r="H21" s="74" t="inlineStr">
        <is>
          <t>EXCELLENT</t>
        </is>
      </c>
      <c r="I21" s="74" t="inlineStr">
        <is>
          <t>2026-11-15</t>
        </is>
      </c>
    </row>
    <row r="22">
      <c r="A22" s="71" t="inlineStr">
        <is>
          <t>Hong Kong</t>
        </is>
      </c>
      <c r="B22" s="72" t="inlineStr">
        <is>
          <t>All 8 Hong Kong Universities (RGC Scheme)</t>
        </is>
      </c>
      <c r="C22" s="71" t="inlineStr">
        <is>
          <t>Hong Kong PhD Fellowship Scheme (HKPFS)</t>
        </is>
      </c>
      <c r="D22" s="72" t="inlineStr">
        <is>
          <t>FULLY_FUNDED</t>
        </is>
      </c>
      <c r="E22" s="72" t="inlineStr">
        <is>
          <t>Varies by host university (fully waived or subsidized by university top-ups)</t>
        </is>
      </c>
      <c r="F22" s="72" t="inlineStr">
        <is>
          <t>HK$331,200 / year (approx. US$42,460)</t>
        </is>
      </c>
      <c r="G22" s="72" t="inlineStr">
        <is>
          <t>ELIGIBLE</t>
        </is>
      </c>
      <c r="H22" s="72" t="inlineStr">
        <is>
          <t>PERMITTED</t>
        </is>
      </c>
      <c r="I22" s="72" t="inlineStr">
        <is>
          <t>2026-12-01 12:00:00 HKT (Strict Initial Application to RGC)</t>
        </is>
      </c>
    </row>
    <row r="23">
      <c r="A23" s="73" t="inlineStr">
        <is>
          <t>Hong Kong</t>
        </is>
      </c>
      <c r="B23" s="74" t="inlineStr">
        <is>
          <t>The University of Hong Kong</t>
        </is>
      </c>
      <c r="C23" s="73" t="inlineStr">
        <is>
          <t>HKU Presidential PhD Scholarship (HKU-PS)</t>
        </is>
      </c>
      <c r="D23" s="74" t="inlineStr">
        <is>
          <t>FULLY_FUNDED</t>
        </is>
      </c>
      <c r="E23" s="74" t="inlineStr">
        <is>
          <t>Full tuition fee waiver of HK$42,100 / year</t>
        </is>
      </c>
      <c r="F23" s="74" t="inlineStr">
        <is>
          <t>Up to HK$441,400 in Year 1 (Cash award + PGS + travel subsidy)</t>
        </is>
      </c>
      <c r="G23" s="74" t="inlineStr">
        <is>
          <t>ELIGIBLE</t>
        </is>
      </c>
      <c r="H23" s="74" t="inlineStr">
        <is>
          <t>PERMITTED</t>
        </is>
      </c>
      <c r="I23" s="74" t="inlineStr">
        <is>
          <t>2026-12-01 23:59:59 HKT</t>
        </is>
      </c>
    </row>
    <row r="24">
      <c r="A24" s="71" t="inlineStr">
        <is>
          <t>Hong Kong</t>
        </is>
      </c>
      <c r="B24" s="72" t="inlineStr">
        <is>
          <t>The Hong Kong University of Science and Technology</t>
        </is>
      </c>
      <c r="C24" s="71" t="inlineStr">
        <is>
          <t>HKUST RedBird PhD Award &amp; Postgraduate Studentship (PGS)</t>
        </is>
      </c>
      <c r="D24" s="72" t="inlineStr">
        <is>
          <t>FULLY_FUNDED</t>
        </is>
      </c>
      <c r="E24" s="72" t="inlineStr">
        <is>
          <t>Tuition scholarship available for HKPFS recipients (HK$42,100/yr)</t>
        </is>
      </c>
      <c r="F24" s="72" t="inlineStr">
        <is>
          <t>HK$40,000 recruitment award + full annual PGS of HK$220,680 (approx HK$18,390/mo)</t>
        </is>
      </c>
      <c r="G24" s="72" t="inlineStr">
        <is>
          <t>ELIGIBLE</t>
        </is>
      </c>
      <c r="H24" s="72" t="inlineStr">
        <is>
          <t>PERMITTED</t>
        </is>
      </c>
      <c r="I24" s="72" t="inlineStr">
        <is>
          <t>2026-12-01 23:59:59 HKT</t>
        </is>
      </c>
    </row>
    <row r="25">
      <c r="A25" s="73" t="inlineStr">
        <is>
          <t>Hong Kong</t>
        </is>
      </c>
      <c r="B25" s="74" t="inlineStr">
        <is>
          <t>The Chinese University of Hong Kong</t>
        </is>
      </c>
      <c r="C25" s="73" t="inlineStr">
        <is>
          <t>CUHK Vice-Chancellor's PhD Scholarship Scheme</t>
        </is>
      </c>
      <c r="D25" s="74" t="inlineStr">
        <is>
          <t>FULLY_FUNDED</t>
        </is>
      </c>
      <c r="E25" s="74" t="inlineStr">
        <is>
          <t>Full tuition waiver of HK$42,100 / year for HKPFS recipients</t>
        </is>
      </c>
      <c r="F25" s="74" t="inlineStr">
        <is>
          <t>HK$40,000 - HK$80,000 award + tuition waiver + full studentship</t>
        </is>
      </c>
      <c r="G25" s="74" t="inlineStr">
        <is>
          <t>ELIGIBLE</t>
        </is>
      </c>
      <c r="H25" s="74" t="inlineStr">
        <is>
          <t>PERMITTED</t>
        </is>
      </c>
      <c r="I25" s="74" t="inlineStr">
        <is>
          <t>2026-12-01 23:59:59 HKT</t>
        </is>
      </c>
    </row>
    <row r="26">
      <c r="A26" s="71" t="inlineStr">
        <is>
          <t>Hong Kong</t>
        </is>
      </c>
      <c r="B26" s="72" t="inlineStr">
        <is>
          <t>The Hong Kong Polytechnic University</t>
        </is>
      </c>
      <c r="C26" s="71" t="inlineStr">
        <is>
          <t>PolyU Presidential PhD Fellowship Scheme (PPPFS)</t>
        </is>
      </c>
      <c r="D26" s="72" t="inlineStr">
        <is>
          <t>FULLY_FUNDED</t>
        </is>
      </c>
      <c r="E26" s="72" t="inlineStr">
        <is>
          <t>Full tuition waiver (HK$42,100 / year)</t>
        </is>
      </c>
      <c r="F26" s="72" t="inlineStr">
        <is>
          <t>Annual cash award of HK$40,000 + full tuition waiver + monthly stipend</t>
        </is>
      </c>
      <c r="G26" s="72" t="inlineStr">
        <is>
          <t>ELIGIBLE</t>
        </is>
      </c>
      <c r="H26" s="72" t="inlineStr">
        <is>
          <t>PERMITTED</t>
        </is>
      </c>
      <c r="I26" s="72" t="inlineStr">
        <is>
          <t>2026-12-01 23:59:59 HKT</t>
        </is>
      </c>
    </row>
    <row r="27">
      <c r="A27" s="73" t="inlineStr">
        <is>
          <t>Hong Kong</t>
        </is>
      </c>
      <c r="B27" s="74" t="inlineStr">
        <is>
          <t>City University of Hong Kong</t>
        </is>
      </c>
      <c r="C27" s="73" t="inlineStr">
        <is>
          <t>CityU Presidential PhD Scholarship (CBPS) &amp; PGS</t>
        </is>
      </c>
      <c r="D27" s="74" t="inlineStr">
        <is>
          <t>FULLY_FUNDED</t>
        </is>
      </c>
      <c r="E27" s="74" t="inlineStr">
        <is>
          <t>Institutional research tuition grant provided</t>
        </is>
      </c>
      <c r="F27" s="74" t="inlineStr">
        <is>
          <t>Monthly scholarship of HK$27,600 (HK$331,200/yr) + travel allowance</t>
        </is>
      </c>
      <c r="G27" s="74" t="inlineStr">
        <is>
          <t>ELIGIBLE</t>
        </is>
      </c>
      <c r="H27" s="74" t="inlineStr">
        <is>
          <t>PERMITTED</t>
        </is>
      </c>
      <c r="I27" s="74" t="inlineStr">
        <is>
          <t>2026-12-01 23:59:59 HKT</t>
        </is>
      </c>
    </row>
    <row r="28">
      <c r="A28" s="71" t="inlineStr">
        <is>
          <t>Hong Kong</t>
        </is>
      </c>
      <c r="B28" s="72" t="inlineStr">
        <is>
          <t>Hong Kong Baptist University</t>
        </is>
      </c>
      <c r="C28" s="71" t="inlineStr">
        <is>
          <t>HKBU Vice-Chancellor's PhD Fellowship Scheme</t>
        </is>
      </c>
      <c r="D28" s="72" t="inlineStr">
        <is>
          <t>FULLY_FUNDED</t>
        </is>
      </c>
      <c r="E28" s="72" t="inlineStr">
        <is>
          <t>Full waiver of tuition fee for HKPFS awardees</t>
        </is>
      </c>
      <c r="F28" s="72" t="inlineStr">
        <is>
          <t>HK$27,600 / month + tuition scholarship + research travel fund</t>
        </is>
      </c>
      <c r="G28" s="72" t="inlineStr">
        <is>
          <t>ELIGIBLE</t>
        </is>
      </c>
      <c r="H28" s="72" t="inlineStr">
        <is>
          <t>PERMITTED</t>
        </is>
      </c>
      <c r="I28" s="72" t="inlineStr">
        <is>
          <t>2026-12-01 23:59:59 HKT</t>
        </is>
      </c>
    </row>
    <row r="29">
      <c r="A29" s="73" t="inlineStr">
        <is>
          <t>Hong Kong</t>
        </is>
      </c>
      <c r="B29" s="74" t="inlineStr">
        <is>
          <t>Lingnan University</t>
        </is>
      </c>
      <c r="C29" s="73" t="inlineStr">
        <is>
          <t>Lingnan Full-Time Postgraduate Studentship (PGS) &amp; HKPFS</t>
        </is>
      </c>
      <c r="D29" s="74" t="inlineStr">
        <is>
          <t>FULLY_FUNDED</t>
        </is>
      </c>
      <c r="E29" s="74" t="inlineStr">
        <is>
          <t>Tuition scholarship available for top-ranked applicants</t>
        </is>
      </c>
      <c r="F29" s="74" t="inlineStr">
        <is>
          <t>Monthly studentship of HK$18,480 (or HK$27,600 for HKPFS awardees)</t>
        </is>
      </c>
      <c r="G29" s="74" t="inlineStr">
        <is>
          <t>ELIGIBLE</t>
        </is>
      </c>
      <c r="H29" s="74" t="inlineStr">
        <is>
          <t>PERMITTED</t>
        </is>
      </c>
      <c r="I29" s="74" t="inlineStr">
        <is>
          <t>2026-12-01 23:59:59 HKT</t>
        </is>
      </c>
    </row>
    <row r="30">
      <c r="A30" s="71" t="inlineStr">
        <is>
          <t>Hong Kong</t>
        </is>
      </c>
      <c r="B30" s="72" t="inlineStr">
        <is>
          <t>The Education University of Hong Kong</t>
        </is>
      </c>
      <c r="C30" s="71" t="inlineStr">
        <is>
          <t>EdUHK Research Postgraduate Studentship (RPgS)</t>
        </is>
      </c>
      <c r="D30" s="72" t="inlineStr">
        <is>
          <t>FULLY_FUNDED</t>
        </is>
      </c>
      <c r="E30" s="72" t="inlineStr">
        <is>
          <t>Tuition waivers available for distinguished students</t>
        </is>
      </c>
      <c r="F30" s="72" t="inlineStr">
        <is>
          <t>Monthly studentship of HK$18,200 (or HK$27,600 for HKPFS awardees)</t>
        </is>
      </c>
      <c r="G30" s="72" t="inlineStr">
        <is>
          <t>ELIGIBLE</t>
        </is>
      </c>
      <c r="H30" s="72" t="inlineStr">
        <is>
          <t>PERMITTED</t>
        </is>
      </c>
      <c r="I30" s="72" t="inlineStr">
        <is>
          <t>2026-12-01 23:59:59 HKT</t>
        </is>
      </c>
    </row>
  </sheetData>
  <mergeCells count="1">
    <mergeCell ref="A1:I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2026-10-07T03:57:38Z</dcterms:created>
  <dcterms:modified xmlns:dcterms="http://purl.org/dc/terms/" xmlns:xsi="http://www.w3.org/2001/XMLSchema-instance" xsi:type="dcterms:W3CDTF">2026-10-07T11:36:21Z</dcterms:modified>
</cp:coreProperties>
</file>