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Master Curriculum" sheetId="2" state="visible" r:id="rId2"/>
    <sheet name="24-Week Plan" sheetId="3" state="visible" r:id="rId3"/>
    <sheet name="Weekly Progress Tracker" sheetId="4" state="visible" r:id="rId4"/>
    <sheet name="Course Tracker" sheetId="5" state="visible" r:id="rId5"/>
    <sheet name="Paper Tracker" sheetId="6" state="visible" r:id="rId6"/>
    <sheet name="Research Ideas" sheetId="7" state="visible" r:id="rId7"/>
    <sheet name="Skills Matrix" sheetId="8" state="visible" r:id="rId8"/>
    <sheet name="Simulation &amp; Tools Guide" sheetId="9" state="visible" r:id="rId9"/>
    <sheet name="Recommended Path" sheetId="10" state="visible" r:id="rId10"/>
    <sheet name="PhD Readiness Assessment" sheetId="11" state="visible" r:id="rId11"/>
    <sheet name="HK Supervisor Intelligence" sheetId="12" state="visible" r:id="rId12"/>
    <sheet name="HK Scholarships &amp; Deadlines" sheetId="13" state="visible" r:id="rId13"/>
    <sheet name="HK Application Tracker" sheetId="14" state="visible" r:id="rId14"/>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3">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4">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s>
  <cellStyleXfs count="1">
    <xf numFmtId="0" fontId="0" fillId="0" borderId="0"/>
  </cellStyleXfs>
  <cellXfs count="5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 /><Relationship Type="http://schemas.openxmlformats.org/officeDocument/2006/relationships/hyperlink" Target="https://doi.org/10.1109/JIOT.2016.2579198" TargetMode="External" Id="rId2" /><Relationship Type="http://schemas.openxmlformats.org/officeDocument/2006/relationships/hyperlink" Target="https://cs144.github.io/" TargetMode="External" Id="rId3" /><Relationship Type="http://schemas.openxmlformats.org/officeDocument/2006/relationships/hyperlink" Target="https://www.youtube.com/playlist?list=PLAwxTw4SYaPkA_TlycMocPkWz_aQn_zXw" TargetMode="External" Id="rId4" /><Relationship Type="http://schemas.openxmlformats.org/officeDocument/2006/relationships/hyperlink" Target="https://gaia.cs.umass.edu/kurose_ross/online_lectures.htm" TargetMode="External" Id="rId5" /><Relationship Type="http://schemas.openxmlformats.org/officeDocument/2006/relationships/hyperlink" Target="https://pdos.csail.mit.edu/6.824/" TargetMode="External" Id="rId6" /><Relationship Type="http://schemas.openxmlformats.org/officeDocument/2006/relationships/hyperlink" Target="https://www.youtube.com/playlist?list=PLeKd45zvjcDFUEv_ohr_HdUFe97RItdyB" TargetMode="External" Id="rId7" /><Relationship Type="http://schemas.openxmlformats.org/officeDocument/2006/relationships/hyperlink" Target="https://www.coursera.org/learn/cloud-computing" TargetMode="External" Id="rId8" /><Relationship Type="http://schemas.openxmlformats.org/officeDocument/2006/relationships/hyperlink" Target="https://www.coursera.org/specializations/cloud-computing" TargetMode="External" Id="rId9" /><Relationship Type="http://schemas.openxmlformats.org/officeDocument/2006/relationships/hyperlink" Target="https://serverlessland.com/" TargetMode="External" Id="rId10" /><Relationship Type="http://schemas.openxmlformats.org/officeDocument/2006/relationships/hyperlink" Target="https://www.edx.org/learn/iot-internet-of-things/curtin-university-introduction-to-the-internet-of-things-iot" TargetMode="External" Id="rId11" /><Relationship Type="http://schemas.openxmlformats.org/officeDocument/2006/relationships/hyperlink" Target="https://www.coursera.org/learn/industrial-internet-of-things" TargetMode="External" Id="rId12" /><Relationship Type="http://schemas.openxmlformats.org/officeDocument/2006/relationships/hyperlink" Target="https://github.com/lizrice/containers-from-scratch" TargetMode="External" Id="rId13" /><Relationship Type="http://schemas.openxmlformats.org/officeDocument/2006/relationships/hyperlink" Target="https://www.edx.org/learn/kubernetes/the-linux-foundation-introduction-to-kubernetes" TargetMode="External" Id="rId14" /><Relationship Type="http://schemas.openxmlformats.org/officeDocument/2006/relationships/hyperlink" Target="https://www.edx.org/learn/kubernetes/the-linux-foundation-introduction-to-kubernetes-on-edge-with-k3s" TargetMode="External" Id="rId15" /><Relationship Type="http://schemas.openxmlformats.org/officeDocument/2006/relationships/hyperlink" Target="https://opentelemetry.io/docs/" TargetMode="External" Id="rId16" /><Relationship Type="http://schemas.openxmlformats.org/officeDocument/2006/relationships/hyperlink" Target="https://www.etsi.org/technologies/multi-access-edge-computing" TargetMode="External" Id="rId17" /><Relationship Type="http://schemas.openxmlformats.org/officeDocument/2006/relationships/hyperlink" Target="http://www.cloudbus.org/" TargetMode="External" Id="rId18" /><Relationship Type="http://schemas.openxmlformats.org/officeDocument/2006/relationships/hyperlink" Target="https://www.coursera.org/learn/5g-network-architecture" TargetMode="External" Id="rId19" /><Relationship Type="http://schemas.openxmlformats.org/officeDocument/2006/relationships/hyperlink" Target="https://www.6gflagship.com/" TargetMode="External" Id="rId20" /><Relationship Type="http://schemas.openxmlformats.org/officeDocument/2006/relationships/hyperlink" Target="https://tinyml.seas.harvard.edu/" TargetMode="External" Id="rId21" /><Relationship Type="http://schemas.openxmlformats.org/officeDocument/2006/relationships/hyperlink" Target="https://flower.ai/docs/framework/" TargetMode="External" Id="rId22" /><Relationship Type="http://schemas.openxmlformats.org/officeDocument/2006/relationships/hyperlink" Target="https://arxiv.org/abs/1811.08504" TargetMode="External" Id="rId23" /><Relationship Type="http://schemas.openxmlformats.org/officeDocument/2006/relationships/hyperlink" Target="https://web.stanford.edu/class/ee364a/" TargetMode="External" Id="rId24" /><Relationship Type="http://schemas.openxmlformats.org/officeDocument/2006/relationships/hyperlink" Target="https://www.youtube.com/playlist?list=PLqYmG7hTraZDM-OYHWgPebj2MfCFzFObQ" TargetMode="External" Id="rId25" /><Relationship Type="http://schemas.openxmlformats.org/officeDocument/2006/relationships/hyperlink" Target="https://crypto.stanford.edu/cs255/" TargetMode="External" Id="rId26" /><Relationship Type="http://schemas.openxmlformats.org/officeDocument/2006/relationships/hyperlink" Target="https://arxiv.org/abs/1912.04977" TargetMode="External" Id="rId27" /><Relationship Type="http://schemas.openxmlformats.org/officeDocument/2006/relationships/hyperlink" Target="https://github.com/CagataySonmez/EdgeCloudSim" TargetMode="External" Id="rId28" /><Relationship Type="http://schemas.openxmlformats.org/officeDocument/2006/relationships/hyperlink" Target="https://www.nsnam.org/docs/tutorial/html/" TargetMode="External" Id="rId29" /><Relationship Type="http://schemas.openxmlformats.org/officeDocument/2006/relationships/hyperlink" Target="https://www.coursera.org/learn/sciwrite" TargetMode="External" Id="rId30" /><Relationship Type="http://schemas.openxmlformats.org/officeDocument/2006/relationships/hyperlink" Target="https://www.overleaf.com/learn" TargetMode="External" Id="rId31" /></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 /><Relationship Type="http://schemas.openxmlformats.org/officeDocument/2006/relationships/hyperlink" Target="https://cs144.github.io/" TargetMode="External" Id="rId2" /><Relationship Type="http://schemas.openxmlformats.org/officeDocument/2006/relationships/hyperlink" Target="https://www.youtube.com/playlist?list=PLAwxTw4SYaPkA_TlycMocPkWz_aQn_zXw" TargetMode="External" Id="rId3" /><Relationship Type="http://schemas.openxmlformats.org/officeDocument/2006/relationships/hyperlink" Target="https://pdos.csail.mit.edu/6.824/" TargetMode="External" Id="rId4" /><Relationship Type="http://schemas.openxmlformats.org/officeDocument/2006/relationships/hyperlink" Target="https://www.youtube.com/playlist?list=PLeKd45zvjcDFUEv_ohr_HdUFe97RItdyB" TargetMode="External" Id="rId5" /><Relationship Type="http://schemas.openxmlformats.org/officeDocument/2006/relationships/hyperlink" Target="https://github.com/lizrice/containers-from-scratch" TargetMode="External" Id="rId6" /><Relationship Type="http://schemas.openxmlformats.org/officeDocument/2006/relationships/hyperlink" Target="https://www.edx.org/learn/kubernetes/the-linux-foundation-introduction-to-kubernetes-on-edge-with-k3s" TargetMode="External" Id="rId7" /><Relationship Type="http://schemas.openxmlformats.org/officeDocument/2006/relationships/hyperlink" Target="https://www.etsi.org/technologies/multi-access-edge-computing" TargetMode="External" Id="rId8" /><Relationship Type="http://schemas.openxmlformats.org/officeDocument/2006/relationships/hyperlink" Target="https://www.coursera.org/learn/5g-network-architecture" TargetMode="External" Id="rId9" /><Relationship Type="http://schemas.openxmlformats.org/officeDocument/2006/relationships/hyperlink" Target="https://web.stanford.edu/class/ee364a/" TargetMode="External" Id="rId10" /><Relationship Type="http://schemas.openxmlformats.org/officeDocument/2006/relationships/hyperlink" Target="https://tinyml.seas.harvard.edu/" TargetMode="External" Id="rId11" /><Relationship Type="http://schemas.openxmlformats.org/officeDocument/2006/relationships/hyperlink" Target="https://flower.ai/docs/framework/" TargetMode="External" Id="rId12" /><Relationship Type="http://schemas.openxmlformats.org/officeDocument/2006/relationships/hyperlink" Target="https://github.com/CagataySonmez/EdgeCloudSim" TargetMode="External" Id="rId13" /><Relationship Type="http://schemas.openxmlformats.org/officeDocument/2006/relationships/hyperlink" Target="https://www.coursera.org/learn/sciwrite" TargetMode="External" Id="rId14" /></Relationships>
</file>

<file path=xl/worksheets/_rels/sheet6.xml.rels><Relationships xmlns="http://schemas.openxmlformats.org/package/2006/relationships"><Relationship Type="http://schemas.openxmlformats.org/officeDocument/2006/relationships/hyperlink" Target="https://doi.org/10.1109/MPRV.2009.82" TargetMode="External" Id="rId1" /><Relationship Type="http://schemas.openxmlformats.org/officeDocument/2006/relationships/hyperlink" Target="https://doi.org/10.1145/2342509.2342513" TargetMode="External" Id="rId2" /><Relationship Type="http://schemas.openxmlformats.org/officeDocument/2006/relationships/hyperlink" Target="https://doi.org/10.1109/JIOT.2016.2579198" TargetMode="External" Id="rId3" /><Relationship Type="http://schemas.openxmlformats.org/officeDocument/2006/relationships/hyperlink" Target="https://doi.org/10.1109/COMST.2017.2745201" TargetMode="External" Id="rId4" /><Relationship Type="http://schemas.openxmlformats.org/officeDocument/2006/relationships/hyperlink" Target="https://arxiv.org/abs/1602.05629" TargetMode="External" Id="rId5" /><Relationship Type="http://schemas.openxmlformats.org/officeDocument/2006/relationships/hyperlink" Target="https://arxiv.org/abs/1811.08504" TargetMode="External" Id="rId6" /><Relationship Type="http://schemas.openxmlformats.org/officeDocument/2006/relationships/hyperlink" Target="https://arxiv.org/abs/1907.08349" TargetMode="External" Id="rId7" /><Relationship Type="http://schemas.openxmlformats.org/officeDocument/2006/relationships/hyperlink" Target="https://doi.org/10.1109/ACCESS.2020.2978114" TargetMode="External" Id="rId8" /><Relationship Type="http://schemas.openxmlformats.org/officeDocument/2006/relationships/hyperlink" Target="https://arxiv.org/abs/1912.04977" TargetMode="External" Id="rId9" /><Relationship Type="http://schemas.openxmlformats.org/officeDocument/2006/relationships/hyperlink" Target="https://arxiv.org/abs/1902.06700" TargetMode="External" Id="rId10" /><Relationship Type="http://schemas.openxmlformats.org/officeDocument/2006/relationships/hyperlink" Target="https://doi.org/10.1002/ett.3493" TargetMode="External" Id="rId11" /><Relationship Type="http://schemas.openxmlformats.org/officeDocument/2006/relationships/hyperlink" Target="https://inria.hal.science/inria-00555588" TargetMode="External" Id="rId12" /><Relationship Type="http://schemas.openxmlformats.org/officeDocument/2006/relationships/hyperlink" Target="https://arxiv.org/abs/2202.04936" TargetMode="External" Id="rId13" /></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 /><Relationship Type="http://schemas.openxmlformats.org/officeDocument/2006/relationships/hyperlink" Target="https://github.com/Cloudslab/iFogSim" TargetMode="External" Id="rId2" /><Relationship Type="http://schemas.openxmlformats.org/officeDocument/2006/relationships/hyperlink" Target="https://github.com/cloudsimplus/cloudsimplus" TargetMode="External" Id="rId3" /><Relationship Type="http://schemas.openxmlformats.org/officeDocument/2006/relationships/hyperlink" Target="https://www.nsnam.org/" TargetMode="External" Id="rId4" /><Relationship Type="http://schemas.openxmlformats.org/officeDocument/2006/relationships/hyperlink" Target="https://simu5g.org/" TargetMode="External" Id="rId5" /><Relationship Type="http://schemas.openxmlformats.org/officeDocument/2006/relationships/hyperlink" Target="http://mininet.org/" TargetMode="External" Id="rId6" /><Relationship Type="http://schemas.openxmlformats.org/officeDocument/2006/relationships/hyperlink" Target="https://k3s.io/" TargetMode="External" Id="rId7" /></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 /><Relationship Type="http://schemas.openxmlformats.org/officeDocument/2006/relationships/hyperlink" Target="https://cse.hkust.edu.hk/admin/people/faculty/profile/weiwa" TargetMode="External" Id="rId2" /><Relationship Type="http://schemas.openxmlformats.org/officeDocument/2006/relationships/hyperlink" Target="https://www.cs.hku.hk/people/academic-staff/cwu" TargetMode="External" Id="rId3" /><Relationship Type="http://schemas.openxmlformats.org/officeDocument/2006/relationships/hyperlink" Target="https://www.polyu.edu.hk/comp/people/academic-staff/prof-guo-song/" TargetMode="External" Id="rId4" /><Relationship Type="http://schemas.openxmlformats.org/officeDocument/2006/relationships/hyperlink" Target="https://cse.hkust.edu.hk/admin/people/faculty/profile/linwang" TargetMode="External" Id="rId5" /><Relationship Type="http://schemas.openxmlformats.org/officeDocument/2006/relationships/hyperlink" Target="https://www.cs.cityu.edu.hk/people/academic-staff/jianwang" TargetMode="External" Id="rId6" /><Relationship Type="http://schemas.openxmlformats.org/officeDocument/2006/relationships/hyperlink" Target="https://www.ie.cuhk.edu.hk/people/minghua.shtml" TargetMode="External" Id="rId7" /><Relationship Type="http://schemas.openxmlformats.org/officeDocument/2006/relationships/hyperlink" Target="https://www.cs.hku.hk/people/academic-staff/heming" TargetMode="External" Id="rId8" /><Relationship Type="http://schemas.openxmlformats.org/officeDocument/2006/relationships/hyperlink" Target="https://www.cse.cuhk.edu.hk/people/faculty/john-c-s-lui/" TargetMode="External" Id="rId9" /><Relationship Type="http://schemas.openxmlformats.org/officeDocument/2006/relationships/hyperlink" Target="https://www.comp.hkbu.edu.hk/v1/?page=profile&amp;id=chxw" TargetMode="External" Id="rId10" /><Relationship Type="http://schemas.openxmlformats.org/officeDocument/2006/relationships/hyperlink" Target="https://www.ln.edu.hk/sds/people/faculty/prof-kwong-tak-wu-sam" TargetMode="External" Id="rId11" /><Relationship Type="http://schemas.openxmlformats.org/officeDocument/2006/relationships/hyperlink" Target="https://www.eduhk.hk/mit/people/academic-staff/yu-leung-ho-philip" TargetMode="External" Id="rId12" /></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 /><Relationship Type="http://schemas.openxmlformats.org/officeDocument/2006/relationships/hyperlink" Target="https://gradsch.hku.hk/prospective-students/fees-scholarships-and-financial-aid/hku-presidential-phd-scholarship" TargetMode="External" Id="rId2" /><Relationship Type="http://schemas.openxmlformats.org/officeDocument/2006/relationships/hyperlink" Target="https://fytgs.hkust.edu.hk/scholarships/hkust-redbird-phd-award-scheme" TargetMode="External" Id="rId3" /><Relationship Type="http://schemas.openxmlformats.org/officeDocument/2006/relationships/hyperlink" Target="https://www.gs.cuhk.edu.hk/admissions/scholarships-fees/scholarships" TargetMode="External" Id="rId4" /><Relationship Type="http://schemas.openxmlformats.org/officeDocument/2006/relationships/hyperlink" Target="https://www.polyu.edu.hk/gs/financial-support/scholarships-and-awards/" TargetMode="External" Id="rId5" /><Relationship Type="http://schemas.openxmlformats.org/officeDocument/2006/relationships/hyperlink" Target="https://www.cityu.edu.hk/pg/research-degree-programmes/scholarships-financial-aid-and-fees" TargetMode="External" Id="rId6" /><Relationship Type="http://schemas.openxmlformats.org/officeDocument/2006/relationships/hyperlink" Target="https://gs.hkbu.edu.hk/fees-and-scholarships/scholarships" TargetMode="External" Id="rId7" /><Relationship Type="http://schemas.openxmlformats.org/officeDocument/2006/relationships/hyperlink" Target="https://www.ln.edu.hk/sgs/financial-support/rpg" TargetMode="External" Id="rId8" /><Relationship Type="http://schemas.openxmlformats.org/officeDocument/2006/relationships/hyperlink" Target="https://www.eduhk.hk/gradsch/index.php/prospective-students/fees-and-scholarships.html" TargetMode="External" Id="rId9" /></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4" t="n"/>
      <c r="C5" s="3" t="inlineStr">
        <is>
          <t>TOTAL HOURS LOGGED</t>
        </is>
      </c>
      <c r="D5" s="4" t="n"/>
      <c r="E5" s="3" t="inlineStr">
        <is>
          <t>TARGET HOURS</t>
        </is>
      </c>
      <c r="F5" s="4" t="n"/>
      <c r="G5" s="3" t="inlineStr">
        <is>
          <t>COURSES COMPLETED</t>
        </is>
      </c>
      <c r="H5" s="4" t="n"/>
      <c r="I5" s="3" t="inlineStr">
        <is>
          <t>PAPERS ANALYZED</t>
        </is>
      </c>
      <c r="J5" s="4" t="n"/>
      <c r="K5" s="3" t="inlineStr">
        <is>
          <t>PhD READINESS INDEX</t>
        </is>
      </c>
      <c r="L5" s="4" t="n"/>
      <c r="M5" s="4" t="n"/>
    </row>
    <row r="6">
      <c r="A6" s="5">
        <f>AVERAGE('Weekly Progress Tracker'!P5:P28)</f>
        <v/>
      </c>
      <c r="B6" s="4" t="n"/>
      <c r="C6" s="6">
        <f>SUM('Weekly Progress Tracker'!F5:F28)</f>
        <v/>
      </c>
      <c r="D6" s="4" t="n"/>
      <c r="E6" s="6">
        <f>SUM('Weekly Progress Tracker'!E5:E28)</f>
        <v/>
      </c>
      <c r="F6" s="4" t="n"/>
      <c r="G6" s="7">
        <f>COUNTIF('Course Tracker'!M4:M25, "Completed")</f>
        <v/>
      </c>
      <c r="H6" s="4" t="n"/>
      <c r="I6" s="8">
        <f>COUNTIF('Paper Tracker'!I5:I25, "Yes")</f>
        <v/>
      </c>
      <c r="J6" s="4" t="n"/>
      <c r="K6" s="9">
        <f>'PhD Readiness Assessment'!C21</f>
        <v/>
      </c>
      <c r="L6" s="4" t="n"/>
      <c r="M6" s="4" t="n"/>
    </row>
    <row r="7">
      <c r="A7" s="4" t="n"/>
      <c r="B7" s="4" t="n"/>
      <c r="C7" s="4" t="n"/>
      <c r="D7" s="4" t="n"/>
      <c r="E7" s="4" t="n"/>
      <c r="F7" s="4" t="n"/>
      <c r="G7" s="4" t="n"/>
      <c r="H7" s="4" t="n"/>
      <c r="I7" s="4" t="n"/>
      <c r="J7" s="4" t="n"/>
      <c r="K7" s="4" t="n"/>
      <c r="L7" s="4" t="n"/>
      <c r="M7" s="4" t="n"/>
    </row>
    <row r="9">
      <c r="A9" s="10" t="inlineStr">
        <is>
          <t>24-WEEK RESEARCH PREPARATION ROADMAP &amp; MONTHLY MILESTONES</t>
        </is>
      </c>
    </row>
    <row r="10">
      <c r="A10" s="11" t="inlineStr">
        <is>
          <t>Month</t>
        </is>
      </c>
      <c r="B10" s="11" t="inlineStr">
        <is>
          <t>Weeks</t>
        </is>
      </c>
      <c r="C10" s="11" t="inlineStr">
        <is>
          <t>Core Focus Area</t>
        </is>
      </c>
      <c r="E10" s="11" t="inlineStr">
        <is>
          <t>Key Thematic Modules</t>
        </is>
      </c>
      <c r="H10" s="11" t="inlineStr">
        <is>
          <t>Milestone Tangible Deliverable</t>
        </is>
      </c>
      <c r="L10" s="11" t="inlineStr">
        <is>
          <t>Target Date</t>
        </is>
      </c>
      <c r="M10" s="11" t="inlineStr">
        <is>
          <t>Status</t>
        </is>
      </c>
    </row>
    <row r="11">
      <c r="A11" s="12" t="inlineStr">
        <is>
          <t>Month 1</t>
        </is>
      </c>
      <c r="B11" s="12" t="inlineStr">
        <is>
          <t>W1 - W4</t>
        </is>
      </c>
      <c r="C11" s="13" t="inlineStr">
        <is>
          <t>Networking &amp; Edge Foundations</t>
        </is>
      </c>
      <c r="D11" s="14" t="n"/>
      <c r="E11" s="13" t="inlineStr">
        <is>
          <t>Edge Architecture, Network Virtualization, SDN, Protocols (TCP/UDP/MQTT), Wireless IoT</t>
        </is>
      </c>
      <c r="F11" s="14" t="n"/>
      <c r="G11" s="14" t="n"/>
      <c r="H11" s="13" t="inlineStr">
        <is>
          <t>Comprehensive Technical Taxonomy &amp; Comparative Survey: Edge vs Fog vs Cloudlets</t>
        </is>
      </c>
      <c r="I11" s="14" t="n"/>
      <c r="J11" s="14" t="n"/>
      <c r="K11" s="14" t="n"/>
      <c r="L11" s="12" t="inlineStr">
        <is>
          <t>Month 1 End</t>
        </is>
      </c>
      <c r="M11" s="15" t="inlineStr">
        <is>
          <t>In Progress</t>
        </is>
      </c>
    </row>
    <row r="12">
      <c r="A12" s="16" t="inlineStr">
        <is>
          <t>Month 2</t>
        </is>
      </c>
      <c r="B12" s="16" t="inlineStr">
        <is>
          <t>W5 - W8</t>
        </is>
      </c>
      <c r="C12" s="17" t="inlineStr">
        <is>
          <t>Distributed Systems &amp; Consensus</t>
        </is>
      </c>
      <c r="D12" s="18" t="n"/>
      <c r="E12" s="17" t="inlineStr">
        <is>
          <t>Processes, RPC, Logical Clocks, Consistency Models, Raft Consensus, Distributed Storage</t>
        </is>
      </c>
      <c r="F12" s="18" t="n"/>
      <c r="G12" s="18" t="n"/>
      <c r="H12" s="17" t="inlineStr">
        <is>
          <t>Raft Consensus Node Implementation &amp; Edge State Synchronization Protocol Critique</t>
        </is>
      </c>
      <c r="I12" s="18" t="n"/>
      <c r="J12" s="18" t="n"/>
      <c r="K12" s="18" t="n"/>
      <c r="L12" s="16" t="inlineStr">
        <is>
          <t>Month 2 End</t>
        </is>
      </c>
      <c r="M12" s="19" t="inlineStr">
        <is>
          <t>Not Started</t>
        </is>
      </c>
    </row>
    <row r="13">
      <c r="A13" s="12" t="inlineStr">
        <is>
          <t>Month 3</t>
        </is>
      </c>
      <c r="B13" s="12" t="inlineStr">
        <is>
          <t>W9 - W12</t>
        </is>
      </c>
      <c r="C13" s="13" t="inlineStr">
        <is>
          <t>Cloud-Native, K3s &amp; Edge Arch</t>
        </is>
      </c>
      <c r="D13" s="14" t="n"/>
      <c r="E13" s="13" t="inlineStr">
        <is>
          <t>Hypervisors vs Containers, K3s/KubeEdge Orchestration, Serverless Edge, Edge Topologies</t>
        </is>
      </c>
      <c r="F13" s="14" t="n"/>
      <c r="G13" s="14" t="n"/>
      <c r="H13" s="13" t="inlineStr">
        <is>
          <t>Edge-Native Microservice Cluster deployed on K3s with Latency &amp; Resource Benchmarking</t>
        </is>
      </c>
      <c r="I13" s="14" t="n"/>
      <c r="J13" s="14" t="n"/>
      <c r="K13" s="14" t="n"/>
      <c r="L13" s="12" t="inlineStr">
        <is>
          <t>Month 3 End</t>
        </is>
      </c>
      <c r="M13" s="15" t="inlineStr">
        <is>
          <t>Not Started</t>
        </is>
      </c>
    </row>
    <row r="14">
      <c r="A14" s="16" t="inlineStr">
        <is>
          <t>Month 4</t>
        </is>
      </c>
      <c r="B14" s="16" t="inlineStr">
        <is>
          <t>W13 - W16</t>
        </is>
      </c>
      <c r="C14" s="17" t="inlineStr">
        <is>
          <t>5G/6G MEC &amp; Optimization</t>
        </is>
      </c>
      <c r="D14" s="18" t="n"/>
      <c r="E14" s="17" t="inlineStr">
        <is>
          <t>3GPP/ETSI MEC Standards, Network Slicing, URLLC, Task Offloading Models, Convex Optimization</t>
        </is>
      </c>
      <c r="F14" s="18" t="n"/>
      <c r="G14" s="18" t="n"/>
      <c r="H14" s="17" t="inlineStr">
        <is>
          <t>Formulation &amp; CVXPY Implementation of Multi-Device Edge Computation Offloading Model</t>
        </is>
      </c>
      <c r="I14" s="18" t="n"/>
      <c r="J14" s="18" t="n"/>
      <c r="K14" s="18" t="n"/>
      <c r="L14" s="16" t="inlineStr">
        <is>
          <t>Month 4 End</t>
        </is>
      </c>
      <c r="M14" s="19" t="inlineStr">
        <is>
          <t>Not Started</t>
        </is>
      </c>
    </row>
    <row r="15">
      <c r="A15" s="12" t="inlineStr">
        <is>
          <t>Month 5</t>
        </is>
      </c>
      <c r="B15" s="12" t="inlineStr">
        <is>
          <t>W17 - W20</t>
        </is>
      </c>
      <c r="C15" s="13" t="inlineStr">
        <is>
          <t>Edge AI &amp; Security/Privacy</t>
        </is>
      </c>
      <c r="D15" s="14" t="n"/>
      <c r="E15" s="13" t="inlineStr">
        <is>
          <t>Model Compression, Quantization/Pruning, TinyML, Federated Learning (FedAvg), TEEs &amp; Zero Trust</t>
        </is>
      </c>
      <c r="F15" s="14" t="n"/>
      <c r="G15" s="14" t="n"/>
      <c r="H15" s="13" t="inlineStr">
        <is>
          <t>Edge-Cloud Collaborative Inference &amp; Differential Privacy Federated Learning Benchmark</t>
        </is>
      </c>
      <c r="I15" s="14" t="n"/>
      <c r="J15" s="14" t="n"/>
      <c r="K15" s="14" t="n"/>
      <c r="L15" s="12" t="inlineStr">
        <is>
          <t>Month 5 End</t>
        </is>
      </c>
      <c r="M15" s="15" t="inlineStr">
        <is>
          <t>Not Started</t>
        </is>
      </c>
    </row>
    <row r="16">
      <c r="A16" s="16" t="inlineStr">
        <is>
          <t>Month 6</t>
        </is>
      </c>
      <c r="B16" s="16" t="inlineStr">
        <is>
          <t>W21 - W24</t>
        </is>
      </c>
      <c r="C16" s="17" t="inlineStr">
        <is>
          <t>Simulation &amp; PhD Proposal</t>
        </is>
      </c>
      <c r="D16" s="18" t="n"/>
      <c r="E16" s="17" t="inlineStr">
        <is>
          <t>EdgeCloudSim, Discrete Event Modeling, Experimental Design, Academic Writing, Research Gaps</t>
        </is>
      </c>
      <c r="F16" s="18" t="n"/>
      <c r="G16" s="18" t="n"/>
      <c r="H16" s="17" t="inlineStr">
        <is>
          <t>Complete Edge Computing Research Paper / Capstone Report + PhD Research Proposal Draft</t>
        </is>
      </c>
      <c r="I16" s="18" t="n"/>
      <c r="J16" s="18" t="n"/>
      <c r="K16" s="1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14" t="n"/>
      <c r="C19" s="14" t="n"/>
      <c r="D19" s="12" t="inlineStr">
        <is>
          <t>3.0 - 4.0 hrs</t>
        </is>
      </c>
      <c r="E19" s="12" t="inlineStr">
        <is>
          <t>40%</t>
        </is>
      </c>
      <c r="F19" s="13" t="inlineStr">
        <is>
          <t>MIT/Stanford/Coursera free graduate lectures &amp; readings</t>
        </is>
      </c>
      <c r="G19" s="14" t="n"/>
      <c r="H19" s="20" t="inlineStr">
        <is>
          <t>Sheet 2: Master Curriculum</t>
        </is>
      </c>
      <c r="I19" s="21" t="n"/>
      <c r="J19" s="21" t="n"/>
      <c r="K19" s="22" t="inlineStr">
        <is>
          <t>Complete course directory across Levels 0-14 with strictly free resources</t>
        </is>
      </c>
      <c r="L19" s="21" t="n"/>
      <c r="M19" s="21" t="n"/>
    </row>
    <row r="20">
      <c r="A20" s="17" t="inlineStr">
        <is>
          <t>Research Paper Reading &amp; Analysis</t>
        </is>
      </c>
      <c r="B20" s="18" t="n"/>
      <c r="C20" s="18" t="n"/>
      <c r="D20" s="16" t="inlineStr">
        <is>
          <t>2.0 - 2.5 hrs</t>
        </is>
      </c>
      <c r="E20" s="16" t="inlineStr">
        <is>
          <t>25%</t>
        </is>
      </c>
      <c r="F20" s="17" t="inlineStr">
        <is>
          <t>Seminal papers, methodology deconstruction, gap finding</t>
        </is>
      </c>
      <c r="G20" s="18" t="n"/>
      <c r="H20" s="23" t="inlineStr">
        <is>
          <t>Sheet 3: 24-Week Plan</t>
        </is>
      </c>
      <c r="I20" s="24" t="n"/>
      <c r="J20" s="24" t="n"/>
      <c r="K20" s="25" t="inlineStr">
        <is>
          <t>Comprehensive week-by-week curriculum, activities, deliverables, criteria</t>
        </is>
      </c>
      <c r="L20" s="24" t="n"/>
      <c r="M20" s="24" t="n"/>
    </row>
    <row r="21">
      <c r="A21" s="13" t="inlineStr">
        <is>
          <t>Hands-on Systems Lab &amp; Coding</t>
        </is>
      </c>
      <c r="B21" s="14" t="n"/>
      <c r="C21" s="14" t="n"/>
      <c r="D21" s="12" t="inlineStr">
        <is>
          <t>1.5 - 2.0 hrs</t>
        </is>
      </c>
      <c r="E21" s="12" t="inlineStr">
        <is>
          <t>20%</t>
        </is>
      </c>
      <c r="F21" s="13" t="inlineStr">
        <is>
          <t>K3s, Docker, Python CVXPY, TinyML, Raft implementation</t>
        </is>
      </c>
      <c r="G21" s="14" t="n"/>
      <c r="H21" s="20" t="inlineStr">
        <is>
          <t>Sheet 4: Weekly Progress Tracker</t>
        </is>
      </c>
      <c r="I21" s="21" t="n"/>
      <c r="J21" s="21" t="n"/>
      <c r="K21" s="22" t="inlineStr">
        <is>
          <t>Log target vs actual hours, readings, labs, challenges, key learnings</t>
        </is>
      </c>
      <c r="L21" s="21" t="n"/>
      <c r="M21" s="21" t="n"/>
    </row>
    <row r="22">
      <c r="A22" s="17" t="inlineStr">
        <is>
          <t>Research Methodology &amp; Proposal Prep</t>
        </is>
      </c>
      <c r="B22" s="18" t="n"/>
      <c r="C22" s="18" t="n"/>
      <c r="D22" s="16" t="inlineStr">
        <is>
          <t>1.0 - 1.5 hrs</t>
        </is>
      </c>
      <c r="E22" s="16" t="inlineStr">
        <is>
          <t>15%</t>
        </is>
      </c>
      <c r="F22" s="17" t="inlineStr">
        <is>
          <t>LaTeX writing, RQ formulation, experimental design</t>
        </is>
      </c>
      <c r="G22" s="18" t="n"/>
      <c r="H22" s="23" t="inlineStr">
        <is>
          <t>Sheet 5: Course Tracker</t>
        </is>
      </c>
      <c r="I22" s="24" t="n"/>
      <c r="J22" s="24" t="n"/>
      <c r="K22" s="25" t="inlineStr">
        <is>
          <t>Track enrolled free courses, URLs, progress %, ratings, milestones</t>
        </is>
      </c>
      <c r="L22" s="24" t="n"/>
      <c r="M22" s="24" t="n"/>
    </row>
    <row r="23">
      <c r="A23" s="26" t="inlineStr">
        <is>
          <t>Total Weekly Investment</t>
        </is>
      </c>
      <c r="B23" s="27" t="n"/>
      <c r="C23" s="27" t="n"/>
      <c r="D23" s="28" t="inlineStr">
        <is>
          <t>7.5 - 10.0 hrs</t>
        </is>
      </c>
      <c r="E23" s="28" t="inlineStr">
        <is>
          <t>100%</t>
        </is>
      </c>
      <c r="F23" s="26" t="inlineStr">
        <is>
          <t>100% Free Open-Access study plan tailored for PhD applicant</t>
        </is>
      </c>
      <c r="G23" s="27" t="n"/>
      <c r="H23" s="20" t="inlineStr">
        <is>
          <t>Sheet 6: Paper Tracker</t>
        </is>
      </c>
      <c r="I23" s="21" t="n"/>
      <c r="J23" s="21" t="n"/>
      <c r="K23" s="22" t="inlineStr">
        <is>
          <t>25+ seminal/modern open-access research papers, RQs, methodologies, gaps</t>
        </is>
      </c>
      <c r="L23" s="21" t="n"/>
      <c r="M23" s="21" t="n"/>
    </row>
    <row r="24">
      <c r="H24" s="23" t="inlineStr">
        <is>
          <t>Sheet 7: Research Ideas (Idea Bank)</t>
        </is>
      </c>
      <c r="I24" s="24" t="n"/>
      <c r="J24" s="24" t="n"/>
      <c r="K24" s="25" t="inlineStr">
        <is>
          <t>Problem statements, research questions, methodologies for PhD proposal</t>
        </is>
      </c>
      <c r="L24" s="24" t="n"/>
      <c r="M24" s="24" t="n"/>
    </row>
    <row r="25">
      <c r="H25" s="20" t="inlineStr">
        <is>
          <t>Sheet 8: Skills Matrix</t>
        </is>
      </c>
      <c r="I25" s="21" t="n"/>
      <c r="J25" s="21" t="n"/>
      <c r="K25" s="22" t="inlineStr">
        <is>
          <t>Current vs target competency levels (0-5) across 21 Edge research skills</t>
        </is>
      </c>
      <c r="L25" s="21" t="n"/>
      <c r="M25" s="21" t="n"/>
    </row>
    <row r="26">
      <c r="H26" s="23" t="inlineStr">
        <is>
          <t>Sheet 9: Simulation &amp; Tools Guide</t>
        </is>
      </c>
      <c r="I26" s="24" t="n"/>
      <c r="J26" s="24" t="n"/>
      <c r="K26" s="25" t="inlineStr">
        <is>
          <t>EdgeCloudSim, iFogSim, CloudSim, ns-3, Mininet, K3s open-source analysis</t>
        </is>
      </c>
      <c r="L26" s="24" t="n"/>
      <c r="M26" s="24" t="n"/>
    </row>
    <row r="27">
      <c r="H27" s="20" t="inlineStr">
        <is>
          <t>Sheet 10: Recommended Path</t>
        </is>
      </c>
      <c r="I27" s="21" t="n"/>
      <c r="J27" s="21" t="n"/>
      <c r="K27" s="22" t="inlineStr">
        <is>
          <t>Curated Must Take, Strongly Recommended, Optional, Reference tiers (100% Free)</t>
        </is>
      </c>
      <c r="L27" s="21" t="n"/>
      <c r="M27" s="21" t="n"/>
    </row>
    <row r="28">
      <c r="H28" s="23" t="inlineStr">
        <is>
          <t>Sheet 11: PhD Readiness Assessment</t>
        </is>
      </c>
      <c r="I28" s="24" t="n"/>
      <c r="J28" s="24" t="n"/>
      <c r="K28" s="25" t="inlineStr">
        <is>
          <t>19-point rubric to evaluate readiness for top-tier PhD programs</t>
        </is>
      </c>
      <c r="L28" s="24" t="n"/>
      <c r="M28" s="24" t="n"/>
    </row>
    <row r="30">
      <c r="A30" s="29" t="inlineStr">
        <is>
          <t>HONG KONG PhD CAMPAIGN (10-WEEK APPLICATION OVERLAY)</t>
        </is>
      </c>
    </row>
    <row r="31">
      <c r="A31" s="3" t="inlineStr">
        <is>
          <t>TARGET UNIVERSITIES</t>
        </is>
      </c>
      <c r="B31" s="4" t="n"/>
      <c r="C31" s="3" t="inlineStr">
        <is>
          <t>POTENTIAL SUPERVISORS</t>
        </is>
      </c>
      <c r="D31" s="4" t="n"/>
      <c r="E31" s="3" t="inlineStr">
        <is>
          <t>TIER 1 MATCHES</t>
        </is>
      </c>
      <c r="F31" s="4" t="n"/>
      <c r="G31" s="3" t="inlineStr">
        <is>
          <t>ACTIVE RECRUITING</t>
        </is>
      </c>
      <c r="H31" s="4" t="n"/>
      <c r="I31" s="3" t="inlineStr">
        <is>
          <t>WEEKS REMAINING</t>
        </is>
      </c>
      <c r="J31" s="4" t="n"/>
      <c r="K31" s="3" t="inlineStr">
        <is>
          <t>NEAREST DEADLINE</t>
        </is>
      </c>
      <c r="L31" s="4" t="n"/>
      <c r="M31" s="4" t="n"/>
    </row>
    <row r="32">
      <c r="A32" s="30" t="inlineStr">
        <is>
          <t>8 Universities</t>
        </is>
      </c>
      <c r="B32" s="4" t="n"/>
      <c r="C32" s="30" t="inlineStr">
        <is>
          <t>12 Discovered</t>
        </is>
      </c>
      <c r="D32" s="4" t="n"/>
      <c r="E32" s="30" t="inlineStr">
        <is>
          <t>10 Supervisors</t>
        </is>
      </c>
      <c r="F32" s="4" t="n"/>
      <c r="G32" s="30" t="inlineStr">
        <is>
          <t>11 Verified</t>
        </is>
      </c>
      <c r="H32" s="4" t="n"/>
      <c r="I32" s="30" t="inlineStr">
        <is>
          <t>12 Weeks</t>
        </is>
      </c>
      <c r="J32" s="4" t="n"/>
      <c r="K32" s="30" t="inlineStr">
        <is>
          <t>78 Days (Dec 1)</t>
        </is>
      </c>
      <c r="L32" s="4" t="n"/>
      <c r="M32" s="4" t="n"/>
    </row>
    <row r="33">
      <c r="A33" s="4" t="n"/>
      <c r="B33" s="4" t="n"/>
      <c r="C33" s="4" t="n"/>
      <c r="D33" s="4" t="n"/>
      <c r="E33" s="4" t="n"/>
      <c r="F33" s="4" t="n"/>
      <c r="G33" s="4" t="n"/>
      <c r="H33" s="4" t="n"/>
      <c r="I33" s="4" t="n"/>
      <c r="J33" s="4" t="n"/>
      <c r="K33" s="4" t="n"/>
      <c r="L33" s="4" t="n"/>
      <c r="M33" s="4"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selection pane="bottomLeft"/>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selection pane="bottomLeft"/>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53" t="n"/>
      <c r="C21" s="54">
        <f>AVERAGE(C5:C20)</f>
        <v/>
      </c>
      <c r="D21" s="26">
        <f>IF(C21&gt;=3.5, "EXCEPTIONAL — Fully Research Ready for Top-Tier PhD", IF(C21&gt;=2.8, "STRONG — Highly Competitive PhD Applicant with Strong Foundations", "DEVELOPING — Continue Progressing Through Curriculum"))</f>
        <v/>
      </c>
      <c r="E21" s="53" t="n"/>
      <c r="F21" s="53" t="n"/>
      <c r="G21" s="53"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EdgeMesh: A Distributed Edge Computing Framework for IoT Applications</t>
        </is>
      </c>
      <c r="L4" s="17" t="inlineStr">
        <is>
          <t>Collaborative Edge AI Inference with Dynamic Early-Exit Networks</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FedAdapt: Adaptive Federated Learning over Edge Networks</t>
        </is>
      </c>
      <c r="L5" s="13" t="inlineStr">
        <is>
          <t>FedAdapt: Adaptive Federated Learning over Edge Networks</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Dynamic Scheduling of Distributed Deep Learning Jobs in Edge-Cloud Clusters</t>
        </is>
      </c>
      <c r="L6" s="17" t="inlineStr">
        <is>
          <t>Pipelined Collaborative Inference Across Heterogeneous Edge Devices</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Cloud-Edge Collaborative Intelligence: Architectures, Challenges, and Open Directions</t>
        </is>
      </c>
      <c r="L7" s="13" t="inlineStr">
        <is>
          <t>Structured Model Pruning for Heterogeneous Edge Federated Learning</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Cold-Start Mitigation for Edge FaaS using Predictive Micro-Sandboxing</t>
        </is>
      </c>
      <c r="L8" s="17" t="inlineStr">
        <is>
          <t>Cold-Start Mitigation for Edge FaaS using Predictive Micro-Sandboxing</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Proactive Computation Offloading for Connected Autonomous Vehicles in 5G V2X Networks</t>
        </is>
      </c>
      <c r="L9" s="13" t="inlineStr">
        <is>
          <t>Proactive Computation Offloading for Connected Autonomous Vehicles in 5G V2X Networks</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Online Convex Optimization for Real-Time Edge Resource Allocation</t>
        </is>
      </c>
      <c r="L10" s="17" t="inlineStr">
        <is>
          <t>Carbon-Aware Edge Computing: Joint Energy Harvesting and Computation Scheduling</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Fault-Tolerant Consensus Protocols for Edge Computing with Intermittent Links</t>
        </is>
      </c>
      <c r="L11" s="13" t="inlineStr">
        <is>
          <t>Fault-Tolerant Consensus Protocols for Edge Computing with Intermittent Links</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Cooperative Edge Caching in 5G Networks with User Mobility Awareness</t>
        </is>
      </c>
      <c r="L12" s="17" t="inlineStr">
        <is>
          <t>Cooperative Edge Caching in 5G Networks with User Mobility Awareness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Benchmarking and Optimizing Deep Learning Inference on Mobile Edge GPUs</t>
        </is>
      </c>
      <c r="L13" s="13" t="inlineStr">
        <is>
          <t>Benchmarking and Optimizing Deep Learning Inference on Mobile Edge GPUs</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Low-Complexity Video Compression and Analytics for Resource-Constrained Edge Sensors</t>
        </is>
      </c>
      <c r="L14" s="17" t="inlineStr">
        <is>
          <t>Low-Complexity Video Compression and Analytics for Resource-Constrained Edge Sensors</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Statistical Learning and Anomaly Detection on Distributed Edge IoT Streams</t>
        </is>
      </c>
      <c r="L15" s="13" t="inlineStr">
        <is>
          <t>Statistical Learning and Anomaly Detection on Distributed Edge IoT Streams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78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78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78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78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78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78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78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78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78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In Progress</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Not Started</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2026-09-14T03:02:28Z</dcterms:created>
  <dcterms:modified xsi:type="dcterms:W3CDTF">2026-09-14T03:02:28Z</dcterms:modified>
</cp:coreProperties>
</file>